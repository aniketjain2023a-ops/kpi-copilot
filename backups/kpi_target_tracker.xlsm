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31" codeName="{643B0D74-A683-FBA9-23B4-8A0AA6E0B6B9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niketjain/KPI-Copilot/reports/"/>
    </mc:Choice>
  </mc:AlternateContent>
  <xr:revisionPtr revIDLastSave="0" documentId="13_ncr:1_{D5CBC982-404C-C241-8AF6-FD473FDE380E}" xr6:coauthVersionLast="47" xr6:coauthVersionMax="47" xr10:uidLastSave="{00000000-0000-0000-0000-000000000000}"/>
  <bookViews>
    <workbookView xWindow="0" yWindow="780" windowWidth="34200" windowHeight="21460" activeTab="1" xr2:uid="{00000000-000D-0000-FFFF-FFFF00000000}"/>
  </bookViews>
  <sheets>
    <sheet name="Settings" sheetId="1" r:id="rId1"/>
    <sheet name="Data Entry" sheetId="2" r:id="rId2"/>
    <sheet name="Dashboard" sheetId="3" r:id="rId3"/>
    <sheet name="Calculations" sheetId="4" r:id="rId4"/>
    <sheet name="AI Recommendations" sheetId="5" r:id="rId5"/>
  </sheets>
  <definedNames>
    <definedName name="_xlnm._FilterDatabase" localSheetId="3" hidden="1">Calculations!$A$4:$J$14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6" i="3" l="1"/>
  <c r="L4" i="3" s="1"/>
  <c r="F6" i="3"/>
  <c r="L3" i="3" s="1"/>
  <c r="D6" i="3"/>
  <c r="L2" i="3" s="1"/>
  <c r="B6" i="3"/>
  <c r="A11" i="2"/>
  <c r="A10" i="2"/>
  <c r="A9" i="2"/>
  <c r="A8" i="2"/>
  <c r="A7" i="2"/>
  <c r="A6" i="2"/>
  <c r="A5" i="2"/>
  <c r="A4" i="2"/>
  <c r="A3" i="2"/>
  <c r="A2" i="2"/>
</calcChain>
</file>

<file path=xl/sharedStrings.xml><?xml version="1.0" encoding="utf-8"?>
<sst xmlns="http://schemas.openxmlformats.org/spreadsheetml/2006/main" count="113" uniqueCount="78">
  <si>
    <t>Parameter Name</t>
  </si>
  <si>
    <t>Previous Year Actual</t>
  </si>
  <si>
    <t>Annual Goal</t>
  </si>
  <si>
    <t>Quarterly Goal</t>
  </si>
  <si>
    <t>Production Volume</t>
  </si>
  <si>
    <t>Sales Revenue</t>
  </si>
  <si>
    <t>Dealer Addition</t>
  </si>
  <si>
    <t>Customer Complaints</t>
  </si>
  <si>
    <t>Safety Observations</t>
  </si>
  <si>
    <t>Energy Consumption</t>
  </si>
  <si>
    <t>Inventory Turnover</t>
  </si>
  <si>
    <t>OTIF Delivery (%)</t>
  </si>
  <si>
    <t>Quality Score (%)</t>
  </si>
  <si>
    <t>Cost Reduction ($)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</si>
  <si>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</si>
  <si>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</si>
  <si>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</si>
  <si>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</si>
  <si>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</si>
  <si>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</si>
  <si>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</si>
  <si>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</si>
  <si>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</si>
  <si>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Jan</t>
  </si>
  <si>
    <t>Feb</t>
  </si>
  <si>
    <t>Mar</t>
  </si>
  <si>
    <t>Status</t>
  </si>
  <si>
    <t>Count</t>
  </si>
  <si>
    <t>Executive KPI Dashboard</t>
  </si>
  <si>
    <t>On Track</t>
  </si>
  <si>
    <t>Monitor</t>
  </si>
  <si>
    <t>Critical</t>
  </si>
  <si>
    <t>Total KPIs</t>
  </si>
  <si>
    <t>KPI COPILOT MANAGEMENT REPORT</t>
  </si>
  <si>
    <t>Achieved</t>
  </si>
  <si>
    <t>Remaining Target</t>
  </si>
  <si>
    <t>Months Completed</t>
  </si>
  <si>
    <t>Months Remaining</t>
  </si>
  <si>
    <t>Required Monthly Target</t>
  </si>
  <si>
    <t>Achievement %</t>
  </si>
  <si>
    <t>Trend</t>
  </si>
  <si>
    <t>➖ Stable</t>
  </si>
  <si>
    <t>📉 Declining</t>
  </si>
  <si>
    <t>📈 Improving</t>
  </si>
  <si>
    <t>KPI PERFORMANCE SUMMARY</t>
  </si>
  <si>
    <t>AI INSIGHTS</t>
  </si>
  <si>
    <t>HISTORICAL COMPARISON</t>
  </si>
  <si>
    <t>Generated: 06 Jun 2026, 11:29 AM</t>
  </si>
  <si>
    <t>Risk KPI: Customer Complaints</t>
  </si>
  <si>
    <t>Production Volume: → No Change</t>
  </si>
  <si>
    <t>Total KPIs: 10</t>
  </si>
  <si>
    <t>Top Performer: Safety Observations</t>
  </si>
  <si>
    <t>Sales Revenue: → No Change</t>
  </si>
  <si>
    <t>On Track: 6</t>
  </si>
  <si>
    <t>Declining KPIs: 1</t>
  </si>
  <si>
    <t>Dealer Addition: → No Change</t>
  </si>
  <si>
    <t>Monitor: 3</t>
  </si>
  <si>
    <t>Highest Effort: Sales Revenue</t>
  </si>
  <si>
    <t>Customer Complaints: → No Change</t>
  </si>
  <si>
    <t>Critical: 1</t>
  </si>
  <si>
    <t>Lowest Achievement: Customer Complaints</t>
  </si>
  <si>
    <t>Safety Observations: → No Change</t>
  </si>
  <si>
    <t>Priority Action: Focus on Customer Complaints</t>
  </si>
  <si>
    <t>Energy Consumption: → No Change</t>
  </si>
  <si>
    <t>Inventory Turnover: → No Change</t>
  </si>
  <si>
    <t>OTIF Delivery (%): → No Change</t>
  </si>
  <si>
    <t>EXECUTIVE NARRATIVE</t>
  </si>
  <si>
    <t>Quality Score (%): → No Change</t>
  </si>
  <si>
    <t>Overall KPI health is stable.
• 6 of 10 KPIs are on track.
• Highest risk KPI: Customer Complaints.
• Top performer: Safety Observations.
• Declining KPIs: 1.
Recommended Action:
Focus on Customer Complaints immediately.</t>
  </si>
  <si>
    <t>Cost Reduction ($): → No Change</t>
  </si>
  <si>
    <t>AI GENERATED RECOMMENDATIONS</t>
  </si>
  <si>
    <t>Generated</t>
  </si>
  <si>
    <t>06 Jun 2026, 11:29 AM</t>
  </si>
  <si>
    <t>Recommendations</t>
  </si>
  <si>
    <t>Production Volume: Monitor weekly and implement targeted improvement actions.</t>
  </si>
  <si>
    <t>Customer Complaints: Immediate management review and corrective action required.</t>
  </si>
  <si>
    <t>OTIF Delivery (%): Monitor weekly and implement targeted improvement actions.</t>
  </si>
  <si>
    <t>Quality Score (%): Monitor weekly and implement targeted improvement actions.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</si>
</sst>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1" x14ac:knownFonts="1">
    <font>
      <sz val="10"/>
      <color rgb="FF000000"/>
      <name val="Arial"/>
      <scheme val="minor"/>
    </font>
    <font>
      <b/>
      <sz val="10"/>
      <color rgb="FFFFFFFF"/>
      <name val="Arial"/>
      <family val="2"/>
      <scheme val="minor"/>
    </font>
    <font>
      <sz val="10"/>
      <color theme="1"/>
      <name val="Arial"/>
      <family val="2"/>
      <scheme val="minor"/>
    </font>
    <font>
      <sz val="10"/>
      <color rgb="FF3B5F90"/>
      <name val="Arial"/>
      <family val="2"/>
      <scheme val="minor"/>
    </font>
    <font>
      <sz val="10"/>
      <color rgb="FFEDEDF4"/>
      <name val="Arial"/>
      <family val="2"/>
      <scheme val="minor"/>
    </font>
    <font>
      <b/>
      <sz val="24"/>
      <color rgb="FF3B5F90"/>
      <name val="Arial"/>
      <family val="2"/>
      <scheme val="minor"/>
    </font>
    <font>
      <b/>
      <sz val="12"/>
      <color rgb="FF74777E"/>
      <name val="Arial"/>
      <family val="2"/>
      <scheme val="minor"/>
    </font>
    <font>
      <b/>
      <sz val="24"/>
      <color theme="1"/>
      <name val="Arial"/>
      <family val="2"/>
      <scheme val="minor"/>
    </font>
    <font>
      <b/>
      <sz val="16"/>
      <color rgb="FFFFFFFF"/>
      <name val="Arial"/>
      <family val="2"/>
    </font>
    <font>
      <b/>
      <sz val="10"/>
      <color rgb="FFFFFFFF"/>
      <name val="Arial"/>
      <family val="2"/>
    </font>
    <font>
      <b/>
      <sz val="14"/>
      <color rgb="FFFFFFFF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3B5F90"/>
        <bgColor rgb="FF3B5F90"/>
      </patternFill>
    </fill>
    <fill>
      <patternFill patternType="solid">
        <fgColor rgb="FFEDEDF4"/>
        <bgColor rgb="FFEDEDF4"/>
      </patternFill>
    </fill>
    <fill>
      <patternFill patternType="solid">
        <fgColor rgb="FFFFFFFF"/>
        <bgColor rgb="FFFFFFFF"/>
      </patternFill>
    </fill>
    <fill>
      <patternFill patternType="solid">
        <fgColor rgb="FF1F4E78"/>
      </patternFill>
    </fill>
    <fill>
      <patternFill patternType="solid">
        <fgColor rgb="FFFFD966"/>
      </patternFill>
    </fill>
    <fill>
      <patternFill patternType="solid">
        <fgColor rgb="FF92D050"/>
      </patternFill>
    </fill>
    <fill>
      <patternFill patternType="solid">
        <fgColor rgb="FFFF6666"/>
      </patternFill>
    </fill>
    <fill>
      <patternFill patternType="solid">
        <fgColor rgb="FFD9D9D9"/>
      </patternFill>
    </fill>
  </fills>
  <borders count="6">
    <border>
      <left/>
      <right/>
      <top/>
      <bottom/>
      <diagonal/>
    </border>
    <border>
      <left/>
      <right style="thin">
        <color rgb="FFCCCCCC"/>
      </right>
      <top style="thin">
        <color rgb="FFCCCCCC"/>
      </top>
      <bottom/>
      <diagonal/>
    </border>
    <border>
      <left/>
      <right style="thin">
        <color rgb="FFCCCCCC"/>
      </right>
      <top/>
      <bottom style="thin">
        <color rgb="FFCCCCCC"/>
      </bottom>
      <diagonal/>
    </border>
    <border>
      <left style="thin">
        <color rgb="FFCCCCCC"/>
      </left>
      <right style="thin">
        <color rgb="FFCCCCCC"/>
      </right>
      <top style="thin">
        <color rgb="FFCCCCCC"/>
      </top>
      <bottom/>
      <diagonal/>
    </border>
    <border>
      <left style="thin">
        <color rgb="FFCCCCCC"/>
      </left>
      <right style="thin">
        <color rgb="FFCCCCCC"/>
      </right>
      <top/>
      <bottom style="thin">
        <color rgb="FFCCCCCC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1" fillId="2" borderId="0" xfId="0" applyFont="1" applyFill="1"/>
    <xf numFmtId="0" fontId="2" fillId="0" borderId="0" xfId="0" applyFont="1"/>
    <xf numFmtId="0" fontId="3" fillId="0" borderId="0" xfId="0" applyFont="1"/>
    <xf numFmtId="0" fontId="2" fillId="3" borderId="0" xfId="0" applyFont="1" applyFill="1"/>
    <xf numFmtId="0" fontId="4" fillId="3" borderId="0" xfId="0" applyFont="1" applyFill="1"/>
    <xf numFmtId="0" fontId="0" fillId="0" borderId="0" xfId="0" applyAlignment="1">
      <alignment wrapText="1"/>
    </xf>
    <xf numFmtId="0" fontId="0" fillId="0" borderId="5" xfId="0" applyBorder="1"/>
    <xf numFmtId="0" fontId="9" fillId="5" borderId="5" xfId="0" applyFont="1" applyFill="1" applyBorder="1" applyAlignment="1">
      <alignment horizontal="center"/>
    </xf>
    <xf numFmtId="0" fontId="0" fillId="6" borderId="5" xfId="0" applyFill="1" applyBorder="1"/>
    <xf numFmtId="0" fontId="0" fillId="9" borderId="5" xfId="0" applyFill="1" applyBorder="1"/>
    <xf numFmtId="0" fontId="0" fillId="7" borderId="5" xfId="0" applyFill="1" applyBorder="1"/>
    <xf numFmtId="0" fontId="0" fillId="8" borderId="5" xfId="0" applyFill="1" applyBorder="1"/>
    <xf numFmtId="0" fontId="10" fillId="5" borderId="5" xfId="0" applyFont="1" applyFill="1" applyBorder="1"/>
    <xf numFmtId="0" fontId="9" fillId="5" borderId="5" xfId="0" applyFont="1" applyFill="1" applyBorder="1"/>
    <xf numFmtId="0" fontId="9" fillId="5" borderId="0" xfId="0" applyFont="1" applyFill="1"/>
    <xf numFmtId="0" fontId="7" fillId="4" borderId="4" xfId="0" applyFont="1" applyFill="1" applyBorder="1" applyAlignment="1">
      <alignment horizontal="center" vertical="center"/>
    </xf>
    <xf numFmtId="0" fontId="0" fillId="0" borderId="2" xfId="0" applyBorder="1"/>
    <xf numFmtId="0" fontId="6" fillId="4" borderId="3" xfId="0" applyFont="1" applyFill="1" applyBorder="1" applyAlignment="1">
      <alignment horizontal="center" vertical="center"/>
    </xf>
    <xf numFmtId="0" fontId="0" fillId="0" borderId="1" xfId="0" applyBorder="1"/>
    <xf numFmtId="0" fontId="5" fillId="3" borderId="0" xfId="0" applyFont="1" applyFill="1" applyAlignment="1">
      <alignment horizontal="center" vertical="center"/>
    </xf>
    <xf numFmtId="0" fontId="0" fillId="0" borderId="0" xfId="0"/>
    <xf numFmtId="0" fontId="9" fillId="5" borderId="5" xfId="0" applyFont="1" applyFill="1" applyBorder="1"/>
    <xf numFmtId="0" fontId="0" fillId="0" borderId="5" xfId="0" applyBorder="1"/>
    <xf numFmtId="0" fontId="0" fillId="0" borderId="5" xfId="0" applyBorder="1" applyAlignment="1">
      <alignment vertical="top" wrapText="1"/>
    </xf>
    <xf numFmtId="0" fontId="8" fillId="5" borderId="5" xfId="0" applyFont="1" applyFill="1" applyBorder="1"/>
    <xf numFmtId="0" fontId="8" fillId="5" borderId="0" xfId="0" applyFont="1" applyFill="1"/>
  </cellXfs>
  <cellStyles count="1">
    <cellStyle name="Normal" xfId="0" builtinId="0"/>
  </cellStyles>
  <dxfs count="1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rial"/>
        <family val="2"/>
        <scheme val="minor"/>
      </font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8F8FF"/>
          <bgColor rgb="FFF8F8FF"/>
        </patternFill>
      </fill>
    </dxf>
    <dxf>
      <fill>
        <patternFill patternType="solid">
          <fgColor rgb="FF3B5F90"/>
          <bgColor rgb="FF3B5F90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8F8FF"/>
          <bgColor rgb="FFF8F8FF"/>
        </patternFill>
      </fill>
    </dxf>
    <dxf>
      <fill>
        <patternFill patternType="solid">
          <fgColor rgb="FF3B5F90"/>
          <bgColor rgb="FF3B5F90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F8F8FF"/>
          <bgColor rgb="FFF8F8FF"/>
        </patternFill>
      </fill>
    </dxf>
    <dxf>
      <fill>
        <patternFill patternType="solid">
          <fgColor rgb="FF3B5F90"/>
          <bgColor rgb="FF3B5F90"/>
        </patternFill>
      </fill>
    </dxf>
  </dxfs>
  <tableStyles count="3" defaultTableStyle="TableStyleMedium9" defaultPivotStyle="PivotStyleLight16">
    <tableStyle name="Settings-style" pivot="0" count="3" xr9:uid="{00000000-0011-0000-FFFF-FFFF00000000}">
      <tableStyleElement type="headerRow" dxfId="9"/>
      <tableStyleElement type="firstRowStripe" dxfId="8"/>
      <tableStyleElement type="secondRowStripe" dxfId="7"/>
    </tableStyle>
    <tableStyle name="Data Entry-style" pivot="0" count="3" xr9:uid="{00000000-0011-0000-FFFF-FFFF01000000}">
      <tableStyleElement type="headerRow" dxfId="6"/>
      <tableStyleElement type="firstRowStripe" dxfId="5"/>
      <tableStyleElement type="secondRowStripe" dxfId="4"/>
    </tableStyle>
    <tableStyle name="Calculations-style" pivot="0" count="3" xr9:uid="{00000000-0011-0000-FFFF-FFFF02000000}">
      <tableStyleElement type="headerRow" dxfId="3"/>
      <tableStyleElement type="firstRowStripe" dxfId="2"/>
      <tableStyleElement type="secondRowStripe" dxfId="1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IN" b="0">
                <a:solidFill>
                  <a:srgbClr val="757575"/>
                </a:solidFill>
                <a:latin typeface="+mn-lt"/>
              </a:rPr>
              <a:t>KPI Achievement Percentage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Calculations!$G$1</c:f>
              <c:strCache>
                <c:ptCount val="1"/>
              </c:strCache>
            </c:strRef>
          </c:tx>
          <c:spPr>
            <a:solidFill>
              <a:srgbClr val="4285F4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Calculations!$A$2:$A$11</c:f>
              <c:strCache>
                <c:ptCount val="10"/>
                <c:pt idx="2">
                  <c:v>Parameter Name</c:v>
                </c:pt>
                <c:pt idx="3">
                  <c:v>Production Volume</c:v>
                </c:pt>
                <c:pt idx="4">
                  <c:v>Sales Revenue</c:v>
                </c:pt>
                <c:pt idx="5">
                  <c:v>Dealer Addition</c:v>
                </c:pt>
                <c:pt idx="6">
                  <c:v>Customer Complaints</c:v>
                </c:pt>
                <c:pt idx="7">
                  <c:v>Safety Observations</c:v>
                </c:pt>
                <c:pt idx="8">
                  <c:v>Energy Consumption</c:v>
                </c:pt>
                <c:pt idx="9">
                  <c:v>Inventory Turnover</c:v>
                </c:pt>
              </c:strCache>
            </c:strRef>
          </c:cat>
          <c:val>
            <c:numRef>
              <c:f>Calculations!$G$2:$G$11</c:f>
              <c:numCache>
                <c:formatCode>General</c:formatCode>
                <c:ptCount val="10"/>
                <c:pt idx="2">
                  <c:v>0</c:v>
                </c:pt>
                <c:pt idx="3">
                  <c:v>10075</c:v>
                </c:pt>
                <c:pt idx="4">
                  <c:v>458750</c:v>
                </c:pt>
                <c:pt idx="5">
                  <c:v>5</c:v>
                </c:pt>
                <c:pt idx="6">
                  <c:v>11.75</c:v>
                </c:pt>
                <c:pt idx="7">
                  <c:v>17.25</c:v>
                </c:pt>
                <c:pt idx="8">
                  <c:v>3665</c:v>
                </c:pt>
                <c:pt idx="9">
                  <c:v>0.65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490A-2743-B901-BEF5B5D6B7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664720322"/>
        <c:axId val="1984080446"/>
      </c:barChart>
      <c:catAx>
        <c:axId val="66472032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IN" b="0">
                    <a:solidFill>
                      <a:srgbClr val="000000"/>
                    </a:solidFill>
                    <a:latin typeface="+mn-lt"/>
                  </a:rPr>
                  <a:t>None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984080446"/>
        <c:crosses val="autoZero"/>
        <c:auto val="1"/>
        <c:lblAlgn val="ctr"/>
        <c:lblOffset val="100"/>
        <c:noMultiLvlLbl val="1"/>
      </c:catAx>
      <c:valAx>
        <c:axId val="1984080446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minorGridlines>
          <c:spPr>
            <a:ln>
              <a:solidFill>
                <a:srgbClr val="CCCCCC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IN" b="0">
                    <a:solidFill>
                      <a:srgbClr val="000000"/>
                    </a:solidFill>
                    <a:latin typeface="+mn-lt"/>
                  </a:rPr>
                  <a:t>None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664720322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IN" b="0">
                <a:solidFill>
                  <a:srgbClr val="757575"/>
                </a:solidFill>
                <a:latin typeface="+mn-lt"/>
              </a:rPr>
              <a:t>Status Distribution</a:t>
            </a:r>
          </a:p>
        </c:rich>
      </c:tx>
      <c:overlay val="0"/>
    </c:title>
    <c:autoTitleDeleted val="0"/>
    <c:plotArea>
      <c:layout/>
      <c:pieChart>
        <c:varyColors val="1"/>
        <c:ser>
          <c:idx val="0"/>
          <c:order val="0"/>
          <c:spPr>
            <a:ln>
              <a:prstDash val="solid"/>
            </a:ln>
          </c:spPr>
          <c:dPt>
            <c:idx val="0"/>
            <c:bubble3D val="0"/>
            <c:spPr>
              <a:solidFill>
                <a:srgbClr val="4285F4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1-615C-0146-907A-AF013E26BB55}"/>
              </c:ext>
            </c:extLst>
          </c:dPt>
          <c:dPt>
            <c:idx val="1"/>
            <c:bubble3D val="0"/>
            <c:spPr>
              <a:solidFill>
                <a:srgbClr val="EA4335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3-615C-0146-907A-AF013E26BB55}"/>
              </c:ext>
            </c:extLst>
          </c:dPt>
          <c:dPt>
            <c:idx val="2"/>
            <c:bubble3D val="0"/>
            <c:spPr>
              <a:solidFill>
                <a:srgbClr val="FBBC04"/>
              </a:solidFill>
              <a:ln>
                <a:prstDash val="solid"/>
              </a:ln>
            </c:spPr>
            <c:extLst>
              <c:ext xmlns:c16="http://schemas.microsoft.com/office/drawing/2014/chart" uri="{C3380CC4-5D6E-409C-BE32-E72D297353CC}">
                <c16:uniqueId val="{00000005-615C-0146-907A-AF013E26BB55}"/>
              </c:ext>
            </c:extLst>
          </c:dPt>
          <c:cat>
            <c:strRef>
              <c:f>Dashboard!$K$2:$K$4</c:f>
              <c:strCache>
                <c:ptCount val="3"/>
                <c:pt idx="0">
                  <c:v>On Track</c:v>
                </c:pt>
                <c:pt idx="1">
                  <c:v>Monitor</c:v>
                </c:pt>
                <c:pt idx="2">
                  <c:v>Critical</c:v>
                </c:pt>
              </c:strCache>
            </c:strRef>
          </c:cat>
          <c:val>
            <c:numRef>
              <c:f>Dashboard!$L$2:$L$4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15C-0146-907A-AF013E26B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</c:plotArea>
    <c:legend>
      <c:legendPos val="r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1"/>
  <c:style val="2"/>
  <c:chart>
    <c:title>
      <c:tx>
        <c:rich>
          <a:bodyPr/>
          <a:lstStyle/>
          <a:p>
            <a:pPr lvl="0">
              <a:defRPr b="0">
                <a:solidFill>
                  <a:srgbClr val="757575"/>
                </a:solidFill>
                <a:latin typeface="+mn-lt"/>
              </a:defRPr>
            </a:pPr>
            <a:r>
              <a:rPr lang="en-IN" b="0">
                <a:solidFill>
                  <a:srgbClr val="757575"/>
                </a:solidFill>
                <a:latin typeface="+mn-lt"/>
              </a:rPr>
              <a:t>Required Monthly Target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1"/>
        <c:ser>
          <c:idx val="0"/>
          <c:order val="0"/>
          <c:tx>
            <c:strRef>
              <c:f>Calculations!$F$1</c:f>
              <c:strCache>
                <c:ptCount val="1"/>
              </c:strCache>
            </c:strRef>
          </c:tx>
          <c:spPr>
            <a:solidFill>
              <a:srgbClr val="4285F4"/>
            </a:solidFill>
            <a:ln cmpd="sng">
              <a:solidFill>
                <a:srgbClr val="000000"/>
              </a:solidFill>
              <a:prstDash val="solid"/>
            </a:ln>
          </c:spPr>
          <c:invertIfNegative val="1"/>
          <c:cat>
            <c:strRef>
              <c:f>Calculations!$A$2:$A$11</c:f>
              <c:strCache>
                <c:ptCount val="10"/>
                <c:pt idx="2">
                  <c:v>Parameter Name</c:v>
                </c:pt>
                <c:pt idx="3">
                  <c:v>Production Volume</c:v>
                </c:pt>
                <c:pt idx="4">
                  <c:v>Sales Revenue</c:v>
                </c:pt>
                <c:pt idx="5">
                  <c:v>Dealer Addition</c:v>
                </c:pt>
                <c:pt idx="6">
                  <c:v>Customer Complaints</c:v>
                </c:pt>
                <c:pt idx="7">
                  <c:v>Safety Observations</c:v>
                </c:pt>
                <c:pt idx="8">
                  <c:v>Energy Consumption</c:v>
                </c:pt>
                <c:pt idx="9">
                  <c:v>Inventory Turnover</c:v>
                </c:pt>
              </c:strCache>
            </c:strRef>
          </c:cat>
          <c:val>
            <c:numRef>
              <c:f>Calculations!$F$2:$F$11</c:f>
              <c:numCache>
                <c:formatCode>General</c:formatCode>
                <c:ptCount val="10"/>
                <c:pt idx="2">
                  <c:v>0</c:v>
                </c:pt>
                <c:pt idx="3">
                  <c:v>4</c:v>
                </c:pt>
                <c:pt idx="4">
                  <c:v>4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  <c:pt idx="9">
                  <c:v>4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cmpd="sng">
                    <a:solidFill>
                      <a:srgbClr val="000000"/>
                    </a:solidFill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8C6-554D-A0F0-F3786A90D6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522973808"/>
        <c:axId val="374550109"/>
      </c:barChart>
      <c:catAx>
        <c:axId val="1522973808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IN" b="0">
                    <a:solidFill>
                      <a:srgbClr val="000000"/>
                    </a:solidFill>
                    <a:latin typeface="+mn-lt"/>
                  </a:rPr>
                  <a:t>None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374550109"/>
        <c:crosses val="autoZero"/>
        <c:auto val="1"/>
        <c:lblAlgn val="ctr"/>
        <c:lblOffset val="100"/>
        <c:noMultiLvlLbl val="1"/>
      </c:catAx>
      <c:valAx>
        <c:axId val="374550109"/>
        <c:scaling>
          <c:orientation val="minMax"/>
        </c:scaling>
        <c:delete val="0"/>
        <c:axPos val="l"/>
        <c:majorGridlines>
          <c:spPr>
            <a:ln>
              <a:solidFill>
                <a:srgbClr val="B7B7B7"/>
              </a:solidFill>
              <a:prstDash val="solid"/>
            </a:ln>
          </c:spPr>
        </c:majorGridlines>
        <c:minorGridlines>
          <c:spPr>
            <a:ln>
              <a:solidFill>
                <a:srgbClr val="CCCCCC"/>
              </a:solidFill>
              <a:prstDash val="solid"/>
            </a:ln>
          </c:spPr>
        </c:minorGridlines>
        <c:title>
          <c:tx>
            <c:rich>
              <a:bodyPr/>
              <a:lstStyle/>
              <a:p>
                <a:pPr lvl="0">
                  <a:defRPr b="0">
                    <a:solidFill>
                      <a:srgbClr val="000000"/>
                    </a:solidFill>
                    <a:latin typeface="+mn-lt"/>
                  </a:defRPr>
                </a:pPr>
                <a:r>
                  <a:rPr lang="en-IN" b="0">
                    <a:solidFill>
                      <a:srgbClr val="000000"/>
                    </a:solidFill>
                    <a:latin typeface="+mn-lt"/>
                  </a:rPr>
                  <a:t>None</a:t>
                </a:r>
              </a:p>
            </c:rich>
          </c:tx>
          <c:overlay val="0"/>
        </c:title>
        <c:numFmt formatCode="General" sourceLinked="1"/>
        <c:majorTickMark val="none"/>
        <c:minorTickMark val="none"/>
        <c:tickLblPos val="nextTo"/>
        <c:spPr>
          <a:ln>
            <a:prstDash val="solid"/>
          </a:ln>
        </c:spPr>
        <c:txPr>
          <a:bodyPr/>
          <a:lstStyle/>
          <a:p>
            <a:pPr lvl="0">
              <a:defRPr b="0">
                <a:solidFill>
                  <a:srgbClr val="000000"/>
                </a:solidFill>
                <a:latin typeface="+mn-lt"/>
              </a:defRPr>
            </a:pPr>
            <a:endParaRPr lang="en-US"/>
          </a:p>
        </c:txPr>
        <c:crossAx val="1522973808"/>
        <c:crosses val="autoZero"/>
        <c:crossBetween val="between"/>
      </c:valAx>
    </c:plotArea>
    <c:legend>
      <c:legendPos val="b"/>
      <c:overlay val="0"/>
      <c:txPr>
        <a:bodyPr/>
        <a:lstStyle/>
        <a:p>
          <a:pPr lvl="0">
            <a:defRPr b="0">
              <a:solidFill>
                <a:srgbClr val="1A1A1A"/>
              </a:solidFill>
              <a:latin typeface="+mn-lt"/>
            </a:defRPr>
          </a:pPr>
          <a:endParaRPr lang="en-US"/>
        </a:p>
      </c:txPr>
    </c:legend>
    <c:plotVisOnly val="1"/>
    <c:dispBlanksAs val="gap"/>
    <c:showDLblsOverMax val="1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952500</xdr:colOff>
          <xdr:row>16</xdr:row>
          <xdr:rowOff>0</xdr:rowOff>
        </xdr:from>
        <xdr:to>
          <xdr:col>11</xdr:col>
          <xdr:colOff>0</xdr:colOff>
          <xdr:row>18</xdr:row>
          <xdr:rowOff>12700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ECBF8C3-93B7-D496-9F9C-C3D62A931D7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en-GB" sz="1000" b="0" i="0" u="none" strike="noStrike" baseline="0">
                  <a:solidFill>
                    <a:srgbClr val="000000"/>
                  </a:solidFill>
                  <a:latin typeface="Arial" charset="0"/>
                  <a:cs typeface="Arial" charset="0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0</xdr:colOff>
      <xdr:row>7</xdr:row>
      <xdr:rowOff>0</xdr:rowOff>
    </xdr:from>
    <xdr:ext cx="3810000" cy="2381250"/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oneCellAnchor>
  <xdr:oneCellAnchor>
    <xdr:from>
      <xdr:col>5</xdr:col>
      <xdr:colOff>0</xdr:colOff>
      <xdr:row>7</xdr:row>
      <xdr:rowOff>0</xdr:rowOff>
    </xdr:from>
    <xdr:ext cx="3810000" cy="2381250"/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 fLocksWithSheet="0"/>
  </xdr:oneCellAnchor>
  <xdr:oneCellAnchor>
    <xdr:from>
      <xdr:col>1</xdr:col>
      <xdr:colOff>0</xdr:colOff>
      <xdr:row>20</xdr:row>
      <xdr:rowOff>0</xdr:rowOff>
    </xdr:from>
    <xdr:ext cx="7620000" cy="2381250"/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one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_1" displayName="Table_1" ref="A1:D11">
  <tableColumns count="4">
    <tableColumn id="1" xr3:uid="{00000000-0010-0000-0000-000001000000}" name="Parameter Name"/>
    <tableColumn id="2" xr3:uid="{00000000-0010-0000-0000-000002000000}" name="Previous Year Actual"/>
    <tableColumn id="3" xr3:uid="{00000000-0010-0000-0000-000003000000}" name="Annual Goal"/>
    <tableColumn id="4" xr3:uid="{00000000-0010-0000-0000-000004000000}" name="Quarterly Goal"/>
  </tableColumns>
  <tableStyleInfo name="Settings-style" showFirstColumn="1" showLastColumn="1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_2" displayName="Table_2" ref="A1:M11">
  <tableColumns count="13">
    <tableColumn id="1" xr3:uid="{00000000-0010-0000-0100-000001000000}" name="Parameter Name"/>
    <tableColumn id="2" xr3:uid="{00000000-0010-0000-0100-000002000000}" name="Apr"/>
    <tableColumn id="3" xr3:uid="{00000000-0010-0000-0100-000003000000}" name="May"/>
    <tableColumn id="4" xr3:uid="{00000000-0010-0000-0100-000004000000}" name="Jun"/>
    <tableColumn id="5" xr3:uid="{00000000-0010-0000-0100-000005000000}" name="Jul"/>
    <tableColumn id="6" xr3:uid="{00000000-0010-0000-0100-000006000000}" name="Aug"/>
    <tableColumn id="7" xr3:uid="{00000000-0010-0000-0100-000007000000}" name="Sep"/>
    <tableColumn id="8" xr3:uid="{00000000-0010-0000-0100-000008000000}" name="Oct"/>
    <tableColumn id="9" xr3:uid="{00000000-0010-0000-0100-000009000000}" name="Nov"/>
    <tableColumn id="10" xr3:uid="{00000000-0010-0000-0100-00000A000000}" name="Dec" dataDxfId="0"/>
    <tableColumn id="11" xr3:uid="{00000000-0010-0000-0100-00000B000000}" name="Jan"/>
    <tableColumn id="12" xr3:uid="{00000000-0010-0000-0100-00000C000000}" name="Feb"/>
    <tableColumn id="13" xr3:uid="{00000000-0010-0000-0100-00000D000000}" name="Mar"/>
  </tableColumns>
  <tableStyleInfo name="Data Entry-style" showFirstColumn="1" showLastColumn="1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285F4"/>
      </a:accent1>
      <a:accent2>
        <a:srgbClr val="EA4335"/>
      </a:accent2>
      <a:accent3>
        <a:srgbClr val="FBBC04"/>
      </a:accent3>
      <a:accent4>
        <a:srgbClr val="34A853"/>
      </a:accent4>
      <a:accent5>
        <a:srgbClr val="FF6D01"/>
      </a:accent5>
      <a:accent6>
        <a:srgbClr val="46BDC6"/>
      </a:accent6>
      <a:hlink>
        <a:srgbClr val="1155CC"/>
      </a:hlink>
      <a:folHlink>
        <a:srgbClr val="1155CC"/>
      </a:folHlink>
    </a:clrScheme>
    <a:fontScheme name="Sheets">
      <a:majorFont>
        <a:latin typeface="Arial"/>
        <a:ea typeface="Arial"/>
        <a:cs typeface="Arial"/>
      </a:majorFont>
      <a:minorFont>
        <a:latin typeface="Arial"/>
        <a:ea typeface="Arial"/>
        <a:cs typeface="Arial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ummaryBelow="0" summaryRight="0"/>
  </sheetPr>
  <dimension ref="A1:D11"/>
  <sheetViews>
    <sheetView workbookViewId="0">
      <selection activeCell="G24" sqref="G24"/>
    </sheetView>
  </sheetViews>
  <sheetFormatPr baseColWidth="10" defaultColWidth="12.6640625" defaultRowHeight="15.75" customHeight="1" x14ac:dyDescent="0.15"/>
  <cols>
    <col min="1" max="1" width="20.5" customWidth="1"/>
  </cols>
  <sheetData>
    <row r="1" spans="1:4" ht="15.75" customHeight="1" x14ac:dyDescent="0.15">
      <c r="A1" s="1" t="s">
        <v>0</v>
      </c>
      <c r="B1" s="1" t="s">
        <v>1</v>
      </c>
      <c r="C1" s="1" t="s">
        <v>2</v>
      </c>
      <c r="D1" s="1" t="s">
        <v>3</v>
      </c>
    </row>
    <row r="2" spans="1:4" ht="15.75" customHeight="1" x14ac:dyDescent="0.15">
      <c r="A2" s="2" t="s">
        <v>4</v>
      </c>
      <c r="B2" s="2">
        <v>100000</v>
      </c>
      <c r="C2" s="2">
        <v>120000</v>
      </c>
      <c r="D2" s="2">
        <v>30000</v>
      </c>
    </row>
    <row r="3" spans="1:4" ht="15.75" customHeight="1" x14ac:dyDescent="0.15">
      <c r="A3" s="2" t="s">
        <v>5</v>
      </c>
      <c r="B3" s="2">
        <v>5000000</v>
      </c>
      <c r="C3" s="2">
        <v>6000000</v>
      </c>
      <c r="D3" s="2">
        <v>1500000</v>
      </c>
    </row>
    <row r="4" spans="1:4" ht="15.75" customHeight="1" x14ac:dyDescent="0.15">
      <c r="A4" s="2" t="s">
        <v>6</v>
      </c>
      <c r="B4" s="2">
        <v>45</v>
      </c>
      <c r="C4" s="2">
        <v>60</v>
      </c>
      <c r="D4" s="2">
        <v>15</v>
      </c>
    </row>
    <row r="5" spans="1:4" ht="15.75" customHeight="1" x14ac:dyDescent="0.15">
      <c r="A5" s="2" t="s">
        <v>7</v>
      </c>
      <c r="B5" s="2">
        <v>150</v>
      </c>
      <c r="C5" s="2">
        <v>100</v>
      </c>
      <c r="D5" s="2">
        <v>25</v>
      </c>
    </row>
    <row r="6" spans="1:4" ht="15.75" customHeight="1" x14ac:dyDescent="0.15">
      <c r="A6" s="2" t="s">
        <v>8</v>
      </c>
      <c r="B6" s="2">
        <v>200</v>
      </c>
      <c r="C6" s="2">
        <v>240</v>
      </c>
      <c r="D6" s="2">
        <v>60</v>
      </c>
    </row>
    <row r="7" spans="1:4" ht="15.75" customHeight="1" x14ac:dyDescent="0.15">
      <c r="A7" s="2" t="s">
        <v>9</v>
      </c>
      <c r="B7" s="2">
        <v>50000</v>
      </c>
      <c r="C7" s="2">
        <v>45000</v>
      </c>
      <c r="D7" s="2">
        <v>11250</v>
      </c>
    </row>
    <row r="8" spans="1:4" ht="15.75" customHeight="1" x14ac:dyDescent="0.15">
      <c r="A8" s="2" t="s">
        <v>10</v>
      </c>
      <c r="B8" s="2">
        <v>5</v>
      </c>
      <c r="C8" s="2">
        <v>8</v>
      </c>
      <c r="D8" s="2">
        <v>2</v>
      </c>
    </row>
    <row r="9" spans="1:4" ht="15.75" customHeight="1" x14ac:dyDescent="0.15">
      <c r="A9" s="2" t="s">
        <v>11</v>
      </c>
      <c r="B9" s="2">
        <v>90</v>
      </c>
      <c r="C9" s="2">
        <v>98</v>
      </c>
      <c r="D9" s="2">
        <v>24.5</v>
      </c>
    </row>
    <row r="10" spans="1:4" ht="15.75" customHeight="1" x14ac:dyDescent="0.15">
      <c r="A10" s="2" t="s">
        <v>12</v>
      </c>
      <c r="B10" s="2">
        <v>92</v>
      </c>
      <c r="C10" s="2">
        <v>96</v>
      </c>
      <c r="D10" s="2">
        <v>24</v>
      </c>
    </row>
    <row r="11" spans="1:4" ht="15.75" customHeight="1" x14ac:dyDescent="0.15">
      <c r="A11" s="2" t="s">
        <v>13</v>
      </c>
      <c r="B11" s="2">
        <v>50000</v>
      </c>
      <c r="C11" s="2">
        <v>80000</v>
      </c>
      <c r="D11" s="2">
        <v>20000</v>
      </c>
    </row>
  </sheetData>
  <pageMargins left="0.75" right="0.75" top="1" bottom="1" header="0.5" footer="0.5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outlinePr summaryBelow="0" summaryRight="0"/>
  </sheetPr>
  <dimension ref="A1:M13"/>
  <sheetViews>
    <sheetView tabSelected="1" workbookViewId="0">
      <selection activeCell="M17" sqref="M17"/>
    </sheetView>
  </sheetViews>
  <sheetFormatPr baseColWidth="10" defaultColWidth="12.6640625" defaultRowHeight="15.75" customHeight="1" x14ac:dyDescent="0.15"/>
  <cols>
    <col min="1" max="1" width="17.1640625" customWidth="1"/>
  </cols>
  <sheetData>
    <row r="1" spans="1:13" ht="15.75" customHeight="1" x14ac:dyDescent="0.15">
      <c r="A1" s="1" t="s">
        <v>0</v>
      </c>
      <c r="B1" s="1" t="s">
        <v>14</v>
      </c>
      <c r="C1" s="1" t="s">
        <v>15</v>
      </c>
      <c r="D1" s="1" t="s">
        <v>16</v>
      </c>
      <c r="E1" s="1" t="s">
        <v>17</v>
      </c>
      <c r="F1" s="1" t="s">
        <v>18</v>
      </c>
      <c r="G1" s="1" t="s">
        <v>19</v>
      </c>
      <c r="H1" s="1" t="s">
        <v>20</v>
      </c>
      <c r="I1" s="1" t="s">
        <v>21</v>
      </c>
      <c r="J1" s="1" t="s">
        <v>22</v>
      </c>
      <c r="K1" s="1" t="s">
        <v>23</v>
      </c>
      <c r="L1" s="1" t="s">
        <v>24</v>
      </c>
      <c r="M1" s="1" t="s">
        <v>25</v>
      </c>
    </row>
    <row r="2" spans="1:13" ht="15.75" customHeight="1" x14ac:dyDescent="0.15">
      <c r="A2" s="2" t="str">
        <f>Settings!A2</f>
        <v>Production Volume</v>
      </c>
      <c r="B2" s="2">
        <v>9500</v>
      </c>
      <c r="C2" s="2">
        <v>10200</v>
      </c>
      <c r="D2" s="2">
        <v>10500</v>
      </c>
      <c r="E2" s="2">
        <v>9800</v>
      </c>
      <c r="F2" s="2">
        <v>10100</v>
      </c>
      <c r="G2" s="2">
        <v>9500</v>
      </c>
      <c r="H2" s="2">
        <v>7200</v>
      </c>
      <c r="I2" s="2">
        <v>12900</v>
      </c>
      <c r="J2" s="2">
        <v>9500</v>
      </c>
      <c r="K2" s="2"/>
      <c r="L2" s="2"/>
      <c r="M2" s="2"/>
    </row>
    <row r="3" spans="1:13" ht="15.75" customHeight="1" x14ac:dyDescent="0.15">
      <c r="A3" s="2" t="str">
        <f>Settings!A3</f>
        <v>Sales Revenue</v>
      </c>
      <c r="B3" s="2">
        <v>480000</v>
      </c>
      <c r="C3" s="2">
        <v>510000</v>
      </c>
      <c r="D3" s="2">
        <v>520000</v>
      </c>
      <c r="E3" s="2">
        <v>490000</v>
      </c>
      <c r="F3" s="2">
        <v>505000</v>
      </c>
      <c r="G3" s="2">
        <v>480000</v>
      </c>
      <c r="H3" s="2">
        <v>290000</v>
      </c>
      <c r="I3" s="2">
        <v>890000</v>
      </c>
      <c r="J3" s="2">
        <v>480000</v>
      </c>
      <c r="K3" s="2"/>
      <c r="L3" s="2"/>
      <c r="M3" s="2"/>
    </row>
    <row r="4" spans="1:13" ht="15.75" customHeight="1" x14ac:dyDescent="0.15">
      <c r="A4" s="2" t="str">
        <f>Settings!A4</f>
        <v>Dealer Addition</v>
      </c>
      <c r="B4" s="2">
        <v>4</v>
      </c>
      <c r="C4" s="2">
        <v>6</v>
      </c>
      <c r="D4" s="2">
        <v>5</v>
      </c>
      <c r="E4" s="2">
        <v>4</v>
      </c>
      <c r="F4" s="2">
        <v>5</v>
      </c>
      <c r="G4" s="2">
        <v>3</v>
      </c>
      <c r="H4" s="2">
        <v>1</v>
      </c>
      <c r="I4" s="2">
        <v>12</v>
      </c>
      <c r="J4" s="2">
        <v>3</v>
      </c>
      <c r="K4" s="2"/>
      <c r="L4" s="2"/>
      <c r="M4" s="2"/>
    </row>
    <row r="5" spans="1:13" ht="15.75" customHeight="1" x14ac:dyDescent="0.15">
      <c r="A5" s="2" t="str">
        <f>Settings!A5</f>
        <v>Customer Complaints</v>
      </c>
      <c r="B5" s="2">
        <v>8</v>
      </c>
      <c r="C5" s="2">
        <v>7</v>
      </c>
      <c r="D5" s="2">
        <v>9</v>
      </c>
      <c r="E5" s="2">
        <v>8</v>
      </c>
      <c r="F5" s="2">
        <v>6</v>
      </c>
      <c r="G5" s="2">
        <v>10</v>
      </c>
      <c r="H5" s="2">
        <v>5</v>
      </c>
      <c r="I5" s="2">
        <v>0</v>
      </c>
      <c r="J5" s="2">
        <v>10</v>
      </c>
      <c r="K5" s="2"/>
      <c r="L5" s="2"/>
      <c r="M5" s="2"/>
    </row>
    <row r="6" spans="1:13" ht="15.75" customHeight="1" x14ac:dyDescent="0.15">
      <c r="A6" s="2" t="str">
        <f>Settings!A6</f>
        <v>Safety Observations</v>
      </c>
      <c r="B6" s="2">
        <v>20</v>
      </c>
      <c r="C6" s="2">
        <v>22</v>
      </c>
      <c r="D6" s="2">
        <v>19</v>
      </c>
      <c r="E6" s="2">
        <v>21</v>
      </c>
      <c r="F6" s="2">
        <v>20</v>
      </c>
      <c r="G6" s="2">
        <v>23</v>
      </c>
      <c r="H6" s="2">
        <v>17</v>
      </c>
      <c r="I6" s="2">
        <v>29</v>
      </c>
      <c r="J6" s="2">
        <v>23</v>
      </c>
      <c r="K6" s="2"/>
      <c r="L6" s="2"/>
      <c r="M6" s="2"/>
    </row>
    <row r="7" spans="1:13" ht="15.75" customHeight="1" x14ac:dyDescent="0.15">
      <c r="A7" s="2" t="str">
        <f>Settings!A7</f>
        <v>Energy Consumption</v>
      </c>
      <c r="B7" s="2">
        <v>3800</v>
      </c>
      <c r="C7" s="2">
        <v>3900</v>
      </c>
      <c r="D7" s="2">
        <v>3700</v>
      </c>
      <c r="E7" s="2">
        <v>3850</v>
      </c>
      <c r="F7" s="2">
        <v>3800</v>
      </c>
      <c r="G7" s="2">
        <v>3690</v>
      </c>
      <c r="H7" s="2">
        <v>4800</v>
      </c>
      <c r="I7" s="2">
        <v>2800</v>
      </c>
      <c r="J7" s="2">
        <v>3690</v>
      </c>
      <c r="K7" s="2"/>
      <c r="L7" s="2"/>
      <c r="M7" s="2"/>
    </row>
    <row r="8" spans="1:13" ht="15.75" customHeight="1" x14ac:dyDescent="0.15">
      <c r="A8" s="2" t="str">
        <f>Settings!A8</f>
        <v>Inventory Turnover</v>
      </c>
      <c r="B8" s="2">
        <v>0.6</v>
      </c>
      <c r="C8" s="2">
        <v>0.7</v>
      </c>
      <c r="D8" s="2">
        <v>0.6</v>
      </c>
      <c r="E8" s="2">
        <v>0.8</v>
      </c>
      <c r="F8" s="2">
        <v>0.7</v>
      </c>
      <c r="G8" s="2">
        <v>0.9</v>
      </c>
      <c r="H8" s="2">
        <v>0.2</v>
      </c>
      <c r="I8" s="2">
        <v>0.9</v>
      </c>
      <c r="J8" s="2">
        <v>0.9</v>
      </c>
      <c r="K8" s="2"/>
      <c r="L8" s="2"/>
      <c r="M8" s="2"/>
    </row>
    <row r="9" spans="1:13" ht="15.75" customHeight="1" x14ac:dyDescent="0.15">
      <c r="A9" s="2" t="str">
        <f>Settings!A9</f>
        <v>OTIF Delivery (%)</v>
      </c>
      <c r="B9" s="2">
        <v>8</v>
      </c>
      <c r="C9" s="2">
        <v>8</v>
      </c>
      <c r="D9" s="2">
        <v>8</v>
      </c>
      <c r="E9" s="2">
        <v>8</v>
      </c>
      <c r="F9" s="2">
        <v>8</v>
      </c>
      <c r="G9" s="2">
        <v>8</v>
      </c>
      <c r="H9" s="2">
        <v>6</v>
      </c>
      <c r="I9" s="2">
        <v>10</v>
      </c>
      <c r="J9" s="2">
        <v>8</v>
      </c>
      <c r="K9" s="2"/>
      <c r="L9" s="2"/>
      <c r="M9" s="2"/>
    </row>
    <row r="10" spans="1:13" ht="15.75" customHeight="1" x14ac:dyDescent="0.15">
      <c r="A10" s="2" t="str">
        <f>Settings!A10</f>
        <v>Quality Score (%)</v>
      </c>
      <c r="B10" s="2">
        <v>8</v>
      </c>
      <c r="C10" s="2">
        <v>8</v>
      </c>
      <c r="D10" s="2">
        <v>8</v>
      </c>
      <c r="E10" s="2">
        <v>8</v>
      </c>
      <c r="F10" s="2">
        <v>8</v>
      </c>
      <c r="G10" s="2">
        <v>9</v>
      </c>
      <c r="H10" s="2">
        <v>4</v>
      </c>
      <c r="I10" s="2">
        <v>10</v>
      </c>
      <c r="J10" s="2">
        <v>9</v>
      </c>
      <c r="K10" s="2"/>
      <c r="L10" s="2"/>
      <c r="M10" s="2"/>
    </row>
    <row r="11" spans="1:13" ht="15.75" customHeight="1" x14ac:dyDescent="0.15">
      <c r="A11" s="2" t="str">
        <f>Settings!A11</f>
        <v>Cost Reduction ($)</v>
      </c>
      <c r="B11" s="2">
        <v>6000</v>
      </c>
      <c r="C11" s="2">
        <v>7000</v>
      </c>
      <c r="D11" s="2">
        <v>6500</v>
      </c>
      <c r="E11" s="2">
        <v>6800</v>
      </c>
      <c r="F11" s="2">
        <v>7200</v>
      </c>
      <c r="G11" s="2">
        <v>7500</v>
      </c>
      <c r="H11" s="2">
        <v>4900</v>
      </c>
      <c r="I11" s="2">
        <v>10000</v>
      </c>
      <c r="J11" s="2">
        <v>7500</v>
      </c>
      <c r="K11" s="2"/>
      <c r="L11" s="2"/>
      <c r="M11" s="2"/>
    </row>
    <row r="13" spans="1:13" ht="15.75" customHeight="1" x14ac:dyDescent="0.15">
      <c r="J13" s="3"/>
    </row>
  </sheetData>
  <pageMargins left="0.75" right="0.75" top="1" bottom="1" header="0.5" footer="0.5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Button1_Click">
                <anchor moveWithCells="1" sizeWithCells="1">
                  <from>
                    <xdr:col>8</xdr:col>
                    <xdr:colOff>952500</xdr:colOff>
                    <xdr:row>16</xdr:row>
                    <xdr:rowOff>0</xdr:rowOff>
                  </from>
                  <to>
                    <xdr:col>11</xdr:col>
                    <xdr:colOff>0</xdr:colOff>
                    <xdr:row>18</xdr:row>
                    <xdr:rowOff>12700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outlinePr summaryBelow="0" summaryRight="0"/>
  </sheetPr>
  <dimension ref="A1:Z100"/>
  <sheetViews>
    <sheetView workbookViewId="0"/>
  </sheetViews>
  <sheetFormatPr baseColWidth="10" defaultColWidth="12.6640625" defaultRowHeight="15.75" customHeight="1" x14ac:dyDescent="0.15"/>
  <sheetData>
    <row r="1" spans="1:26" ht="15.75" customHeight="1" x14ac:dyDescent="0.15">
      <c r="A1" s="4"/>
      <c r="B1" s="4"/>
      <c r="C1" s="4"/>
      <c r="D1" s="4"/>
      <c r="E1" s="4"/>
      <c r="F1" s="4"/>
      <c r="G1" s="4"/>
      <c r="H1" s="4"/>
      <c r="I1" s="4"/>
      <c r="J1" s="4"/>
      <c r="K1" s="5" t="s">
        <v>26</v>
      </c>
      <c r="L1" s="5" t="s">
        <v>27</v>
      </c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</row>
    <row r="2" spans="1:26" ht="15.75" customHeight="1" x14ac:dyDescent="0.15">
      <c r="A2" s="4"/>
      <c r="B2" s="20" t="s">
        <v>28</v>
      </c>
      <c r="C2" s="21"/>
      <c r="D2" s="21"/>
      <c r="E2" s="21"/>
      <c r="F2" s="21"/>
      <c r="G2" s="21"/>
      <c r="H2" s="21"/>
      <c r="I2" s="4"/>
      <c r="J2" s="4"/>
      <c r="K2" s="5" t="s">
        <v>29</v>
      </c>
      <c r="L2" s="5">
        <f>D6</f>
        <v>0</v>
      </c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</row>
    <row r="3" spans="1:26" ht="15.75" customHeight="1" x14ac:dyDescent="0.15">
      <c r="A3" s="4"/>
      <c r="B3" s="21"/>
      <c r="C3" s="21"/>
      <c r="D3" s="21"/>
      <c r="E3" s="21"/>
      <c r="F3" s="21"/>
      <c r="G3" s="21"/>
      <c r="H3" s="21"/>
      <c r="I3" s="4"/>
      <c r="J3" s="4"/>
      <c r="K3" s="5" t="s">
        <v>30</v>
      </c>
      <c r="L3" s="5">
        <f>F6</f>
        <v>0</v>
      </c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</row>
    <row r="4" spans="1:26" ht="15.75" customHeight="1" x14ac:dyDescent="0.15">
      <c r="A4" s="4"/>
      <c r="B4" s="4"/>
      <c r="C4" s="4"/>
      <c r="D4" s="4"/>
      <c r="E4" s="4"/>
      <c r="F4" s="4"/>
      <c r="G4" s="4"/>
      <c r="H4" s="4"/>
      <c r="I4" s="4"/>
      <c r="J4" s="4"/>
      <c r="K4" s="5" t="s">
        <v>31</v>
      </c>
      <c r="L4" s="5">
        <f>H6</f>
        <v>0</v>
      </c>
      <c r="M4" s="4"/>
      <c r="N4" s="4"/>
      <c r="O4" s="4"/>
      <c r="P4" s="4"/>
      <c r="Q4" s="4"/>
      <c r="R4" s="4"/>
      <c r="S4" s="4"/>
      <c r="T4" s="4"/>
      <c r="U4" s="4"/>
      <c r="V4" s="4"/>
      <c r="W4" s="4"/>
      <c r="X4" s="4"/>
      <c r="Y4" s="4"/>
      <c r="Z4" s="4"/>
    </row>
    <row r="5" spans="1:26" ht="15.75" customHeight="1" x14ac:dyDescent="0.15">
      <c r="A5" s="4"/>
      <c r="B5" s="18" t="s">
        <v>32</v>
      </c>
      <c r="C5" s="19"/>
      <c r="D5" s="18" t="s">
        <v>29</v>
      </c>
      <c r="E5" s="19"/>
      <c r="F5" s="18" t="s">
        <v>30</v>
      </c>
      <c r="G5" s="19"/>
      <c r="H5" s="18" t="s">
        <v>31</v>
      </c>
      <c r="I5" s="19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</row>
    <row r="6" spans="1:26" ht="15.75" customHeight="1" x14ac:dyDescent="0.15">
      <c r="A6" s="4"/>
      <c r="B6" s="16">
        <f>COUNTA(Calculations!A2:A11)</f>
        <v>8</v>
      </c>
      <c r="C6" s="17"/>
      <c r="D6" s="16">
        <f>COUNTIF(Calculations!J2:J11, "On Track")</f>
        <v>0</v>
      </c>
      <c r="E6" s="17"/>
      <c r="F6" s="16">
        <f>COUNTIF(Calculations!J2:J11, "Monitor")</f>
        <v>0</v>
      </c>
      <c r="G6" s="17"/>
      <c r="H6" s="16">
        <f>COUNTIF(Calculations!J2:J11, "Critical")</f>
        <v>0</v>
      </c>
      <c r="I6" s="17"/>
      <c r="J6" s="4"/>
      <c r="K6" s="4"/>
      <c r="L6" s="4"/>
      <c r="M6" s="4"/>
      <c r="N6" s="4"/>
      <c r="O6" s="4"/>
      <c r="P6" s="4"/>
      <c r="Q6" s="4"/>
      <c r="R6" s="4"/>
      <c r="S6" s="4"/>
      <c r="T6" s="4"/>
      <c r="U6" s="4"/>
      <c r="V6" s="4"/>
      <c r="W6" s="4"/>
      <c r="X6" s="4"/>
      <c r="Y6" s="4"/>
      <c r="Z6" s="4"/>
    </row>
    <row r="7" spans="1:26" ht="15.75" customHeight="1" x14ac:dyDescent="0.1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</row>
    <row r="8" spans="1:26" ht="15.75" customHeight="1" x14ac:dyDescent="0.1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4"/>
      <c r="U8" s="4"/>
      <c r="V8" s="4"/>
      <c r="W8" s="4"/>
      <c r="X8" s="4"/>
      <c r="Y8" s="4"/>
      <c r="Z8" s="4"/>
    </row>
    <row r="9" spans="1:26" ht="15.75" customHeight="1" x14ac:dyDescent="0.1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</row>
    <row r="10" spans="1:26" ht="15.75" customHeight="1" x14ac:dyDescent="0.1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4"/>
      <c r="U10" s="4"/>
      <c r="V10" s="4"/>
      <c r="W10" s="4"/>
      <c r="X10" s="4"/>
      <c r="Y10" s="4"/>
      <c r="Z10" s="4"/>
    </row>
    <row r="11" spans="1:26" ht="15.75" customHeight="1" x14ac:dyDescent="0.1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4"/>
      <c r="U11" s="4"/>
      <c r="V11" s="4"/>
      <c r="W11" s="4"/>
      <c r="X11" s="4"/>
      <c r="Y11" s="4"/>
      <c r="Z11" s="4"/>
    </row>
    <row r="12" spans="1:26" ht="15.75" customHeight="1" x14ac:dyDescent="0.15">
      <c r="A12" s="4"/>
      <c r="B12" s="4"/>
      <c r="C12" s="4"/>
      <c r="D12" s="4"/>
      <c r="E12" s="4"/>
      <c r="F12" s="4"/>
      <c r="G12" s="4"/>
      <c r="H12" s="4"/>
      <c r="I12" s="4"/>
      <c r="J12" s="4"/>
      <c r="K12" s="4"/>
      <c r="L12" s="4"/>
      <c r="M12" s="4"/>
      <c r="N12" s="4"/>
      <c r="O12" s="4"/>
      <c r="P12" s="4"/>
      <c r="Q12" s="4"/>
      <c r="R12" s="4"/>
      <c r="S12" s="4"/>
      <c r="T12" s="4"/>
      <c r="U12" s="4"/>
      <c r="V12" s="4"/>
      <c r="W12" s="4"/>
      <c r="X12" s="4"/>
      <c r="Y12" s="4"/>
      <c r="Z12" s="4"/>
    </row>
    <row r="13" spans="1:26" ht="15.75" customHeight="1" x14ac:dyDescent="0.15">
      <c r="A13" s="4"/>
      <c r="B13" s="4"/>
      <c r="C13" s="4"/>
      <c r="D13" s="4"/>
      <c r="E13" s="4"/>
      <c r="F13" s="4"/>
      <c r="G13" s="4"/>
      <c r="H13" s="4"/>
      <c r="I13" s="4"/>
      <c r="J13" s="4"/>
      <c r="K13" s="4"/>
      <c r="L13" s="4"/>
      <c r="M13" s="4"/>
      <c r="N13" s="4"/>
      <c r="O13" s="4"/>
      <c r="P13" s="4"/>
      <c r="Q13" s="4"/>
      <c r="R13" s="4"/>
      <c r="S13" s="4"/>
      <c r="T13" s="4"/>
      <c r="U13" s="4"/>
      <c r="V13" s="4"/>
      <c r="W13" s="4"/>
      <c r="X13" s="4"/>
      <c r="Y13" s="4"/>
      <c r="Z13" s="4"/>
    </row>
    <row r="14" spans="1:26" ht="15.75" customHeight="1" x14ac:dyDescent="0.15">
      <c r="A14" s="4"/>
      <c r="B14" s="4"/>
      <c r="C14" s="4"/>
      <c r="D14" s="4"/>
      <c r="E14" s="4"/>
      <c r="F14" s="4"/>
      <c r="G14" s="4"/>
      <c r="H14" s="4"/>
      <c r="I14" s="4"/>
      <c r="J14" s="4"/>
      <c r="K14" s="4"/>
      <c r="L14" s="4"/>
      <c r="M14" s="4"/>
      <c r="N14" s="4"/>
      <c r="O14" s="4"/>
      <c r="P14" s="4"/>
      <c r="Q14" s="4"/>
      <c r="R14" s="4"/>
      <c r="S14" s="4"/>
      <c r="T14" s="4"/>
      <c r="U14" s="4"/>
      <c r="V14" s="4"/>
      <c r="W14" s="4"/>
      <c r="X14" s="4"/>
      <c r="Y14" s="4"/>
      <c r="Z14" s="4"/>
    </row>
    <row r="15" spans="1:26" ht="15.75" customHeight="1" x14ac:dyDescent="0.15">
      <c r="A15" s="4"/>
      <c r="B15" s="4"/>
      <c r="C15" s="4"/>
      <c r="D15" s="4"/>
      <c r="E15" s="4"/>
      <c r="F15" s="4"/>
      <c r="G15" s="4"/>
      <c r="H15" s="4"/>
      <c r="I15" s="4"/>
      <c r="J15" s="4"/>
      <c r="K15" s="4"/>
      <c r="L15" s="4"/>
      <c r="M15" s="4"/>
      <c r="N15" s="4"/>
      <c r="O15" s="4"/>
      <c r="P15" s="4"/>
      <c r="Q15" s="4"/>
      <c r="R15" s="4"/>
      <c r="S15" s="4"/>
      <c r="T15" s="4"/>
      <c r="U15" s="4"/>
      <c r="V15" s="4"/>
      <c r="W15" s="4"/>
      <c r="X15" s="4"/>
      <c r="Y15" s="4"/>
      <c r="Z15" s="4"/>
    </row>
    <row r="16" spans="1:26" ht="15.75" customHeight="1" x14ac:dyDescent="0.15">
      <c r="A16" s="4"/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</row>
    <row r="17" spans="1:26" ht="15.75" customHeight="1" x14ac:dyDescent="0.15">
      <c r="A17" s="4"/>
      <c r="B17" s="4"/>
      <c r="C17" s="4"/>
      <c r="D17" s="4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4"/>
      <c r="R17" s="4"/>
      <c r="S17" s="4"/>
      <c r="T17" s="4"/>
      <c r="U17" s="4"/>
      <c r="V17" s="4"/>
      <c r="W17" s="4"/>
      <c r="X17" s="4"/>
      <c r="Y17" s="4"/>
      <c r="Z17" s="4"/>
    </row>
    <row r="18" spans="1:26" ht="15.75" customHeight="1" x14ac:dyDescent="0.15">
      <c r="A18" s="4"/>
      <c r="B18" s="4"/>
      <c r="C18" s="4"/>
      <c r="D18" s="4"/>
      <c r="E18" s="4"/>
      <c r="F18" s="4"/>
      <c r="G18" s="4"/>
      <c r="H18" s="4"/>
      <c r="I18" s="4"/>
      <c r="J18" s="4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  <c r="W18" s="4"/>
      <c r="X18" s="4"/>
      <c r="Y18" s="4"/>
      <c r="Z18" s="4"/>
    </row>
    <row r="19" spans="1:26" ht="15.75" customHeight="1" x14ac:dyDescent="0.15">
      <c r="A19" s="4"/>
      <c r="B19" s="4"/>
      <c r="C19" s="4"/>
      <c r="D19" s="4"/>
      <c r="E19" s="4"/>
      <c r="F19" s="4"/>
      <c r="G19" s="4"/>
      <c r="H19" s="4"/>
      <c r="I19" s="4"/>
      <c r="J19" s="4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  <c r="W19" s="4"/>
      <c r="X19" s="4"/>
      <c r="Y19" s="4"/>
      <c r="Z19" s="4"/>
    </row>
    <row r="20" spans="1:26" ht="15.75" customHeight="1" x14ac:dyDescent="0.15">
      <c r="A20" s="4"/>
      <c r="B20" s="4"/>
      <c r="C20" s="4"/>
      <c r="D20" s="4"/>
      <c r="E20" s="4"/>
      <c r="F20" s="4"/>
      <c r="G20" s="4"/>
      <c r="H20" s="4"/>
      <c r="I20" s="4"/>
      <c r="J20" s="4"/>
      <c r="K20" s="4"/>
      <c r="L20" s="4"/>
      <c r="M20" s="4"/>
      <c r="N20" s="4"/>
      <c r="O20" s="4"/>
      <c r="P20" s="4"/>
      <c r="Q20" s="4"/>
      <c r="R20" s="4"/>
      <c r="S20" s="4"/>
      <c r="T20" s="4"/>
      <c r="U20" s="4"/>
      <c r="V20" s="4"/>
      <c r="W20" s="4"/>
      <c r="X20" s="4"/>
      <c r="Y20" s="4"/>
      <c r="Z20" s="4"/>
    </row>
    <row r="21" spans="1:26" ht="15.75" customHeight="1" x14ac:dyDescent="0.15">
      <c r="A21" s="4"/>
      <c r="B21" s="4"/>
      <c r="C21" s="4"/>
      <c r="D21" s="4"/>
      <c r="E21" s="4"/>
      <c r="F21" s="4"/>
      <c r="G21" s="4"/>
      <c r="H21" s="4"/>
      <c r="I21" s="4"/>
      <c r="J21" s="4"/>
      <c r="K21" s="4"/>
      <c r="L21" s="4"/>
      <c r="M21" s="4"/>
      <c r="N21" s="4"/>
      <c r="O21" s="4"/>
      <c r="P21" s="4"/>
      <c r="Q21" s="4"/>
      <c r="R21" s="4"/>
      <c r="S21" s="4"/>
      <c r="T21" s="4"/>
      <c r="U21" s="4"/>
      <c r="V21" s="4"/>
      <c r="W21" s="4"/>
      <c r="X21" s="4"/>
      <c r="Y21" s="4"/>
      <c r="Z21" s="4"/>
    </row>
    <row r="22" spans="1:26" ht="15.75" customHeight="1" x14ac:dyDescent="0.15">
      <c r="A22" s="4"/>
      <c r="B22" s="4"/>
      <c r="C22" s="4"/>
      <c r="D22" s="4"/>
      <c r="E22" s="4"/>
      <c r="F22" s="4"/>
      <c r="G22" s="4"/>
      <c r="H22" s="4"/>
      <c r="I22" s="4"/>
      <c r="J22" s="4"/>
      <c r="K22" s="4"/>
      <c r="L22" s="4"/>
      <c r="M22" s="4"/>
      <c r="N22" s="4"/>
      <c r="O22" s="4"/>
      <c r="P22" s="4"/>
      <c r="Q22" s="4"/>
      <c r="R22" s="4"/>
      <c r="S22" s="4"/>
      <c r="T22" s="4"/>
      <c r="U22" s="4"/>
      <c r="V22" s="4"/>
      <c r="W22" s="4"/>
      <c r="X22" s="4"/>
      <c r="Y22" s="4"/>
      <c r="Z22" s="4"/>
    </row>
    <row r="23" spans="1:26" ht="15.75" customHeight="1" x14ac:dyDescent="0.15">
      <c r="A23" s="4"/>
      <c r="B23" s="4"/>
      <c r="C23" s="4"/>
      <c r="D23" s="4"/>
      <c r="E23" s="4"/>
      <c r="F23" s="4"/>
      <c r="G23" s="4"/>
      <c r="H23" s="4"/>
      <c r="I23" s="4"/>
      <c r="J23" s="4"/>
      <c r="K23" s="4"/>
      <c r="L23" s="4"/>
      <c r="M23" s="4"/>
      <c r="N23" s="4"/>
      <c r="O23" s="4"/>
      <c r="P23" s="4"/>
      <c r="Q23" s="4"/>
      <c r="R23" s="4"/>
      <c r="S23" s="4"/>
      <c r="T23" s="4"/>
      <c r="U23" s="4"/>
      <c r="V23" s="4"/>
      <c r="W23" s="4"/>
      <c r="X23" s="4"/>
      <c r="Y23" s="4"/>
      <c r="Z23" s="4"/>
    </row>
    <row r="24" spans="1:26" ht="15.75" customHeight="1" x14ac:dyDescent="0.15">
      <c r="A24" s="4"/>
      <c r="B24" s="4"/>
      <c r="C24" s="4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  <c r="O24" s="4"/>
      <c r="P24" s="4"/>
      <c r="Q24" s="4"/>
      <c r="R24" s="4"/>
      <c r="S24" s="4"/>
      <c r="T24" s="4"/>
      <c r="U24" s="4"/>
      <c r="V24" s="4"/>
      <c r="W24" s="4"/>
      <c r="X24" s="4"/>
      <c r="Y24" s="4"/>
      <c r="Z24" s="4"/>
    </row>
    <row r="25" spans="1:26" ht="15.75" customHeight="1" x14ac:dyDescent="0.15">
      <c r="A25" s="4"/>
      <c r="B25" s="4"/>
      <c r="C25" s="4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  <c r="O25" s="4"/>
      <c r="P25" s="4"/>
      <c r="Q25" s="4"/>
      <c r="R25" s="4"/>
      <c r="S25" s="4"/>
      <c r="T25" s="4"/>
      <c r="U25" s="4"/>
      <c r="V25" s="4"/>
      <c r="W25" s="4"/>
      <c r="X25" s="4"/>
      <c r="Y25" s="4"/>
      <c r="Z25" s="4"/>
    </row>
    <row r="26" spans="1:26" ht="15.75" customHeight="1" x14ac:dyDescent="0.15">
      <c r="A26" s="4"/>
      <c r="B26" s="4"/>
      <c r="C26" s="4"/>
      <c r="D26" s="4"/>
      <c r="E26" s="4"/>
      <c r="F26" s="4"/>
      <c r="G26" s="4"/>
      <c r="H26" s="4"/>
      <c r="I26" s="4"/>
      <c r="J26" s="4"/>
      <c r="K26" s="4"/>
      <c r="L26" s="4"/>
      <c r="M26" s="4"/>
      <c r="N26" s="4"/>
      <c r="O26" s="4"/>
      <c r="P26" s="4"/>
      <c r="Q26" s="4"/>
      <c r="R26" s="4"/>
      <c r="S26" s="4"/>
      <c r="T26" s="4"/>
      <c r="U26" s="4"/>
      <c r="V26" s="4"/>
      <c r="W26" s="4"/>
      <c r="X26" s="4"/>
      <c r="Y26" s="4"/>
      <c r="Z26" s="4"/>
    </row>
    <row r="27" spans="1:26" ht="15.75" customHeight="1" x14ac:dyDescent="0.15">
      <c r="A27" s="4"/>
      <c r="B27" s="4"/>
      <c r="C27" s="4"/>
      <c r="D27" s="4"/>
      <c r="E27" s="4"/>
      <c r="F27" s="4"/>
      <c r="G27" s="4"/>
      <c r="H27" s="4"/>
      <c r="I27" s="4"/>
      <c r="J27" s="4"/>
      <c r="K27" s="4"/>
      <c r="L27" s="4"/>
      <c r="M27" s="4"/>
      <c r="N27" s="4"/>
      <c r="O27" s="4"/>
      <c r="P27" s="4"/>
      <c r="Q27" s="4"/>
      <c r="R27" s="4"/>
      <c r="S27" s="4"/>
      <c r="T27" s="4"/>
      <c r="U27" s="4"/>
      <c r="V27" s="4"/>
      <c r="W27" s="4"/>
      <c r="X27" s="4"/>
      <c r="Y27" s="4"/>
      <c r="Z27" s="4"/>
    </row>
    <row r="28" spans="1:26" ht="15.75" customHeight="1" x14ac:dyDescent="0.15">
      <c r="A28" s="4"/>
      <c r="B28" s="4"/>
      <c r="C28" s="4"/>
      <c r="D28" s="4"/>
      <c r="E28" s="4"/>
      <c r="F28" s="4"/>
      <c r="G28" s="4"/>
      <c r="H28" s="4"/>
      <c r="I28" s="4"/>
      <c r="J28" s="4"/>
      <c r="K28" s="4"/>
      <c r="L28" s="4"/>
      <c r="M28" s="4"/>
      <c r="N28" s="4"/>
      <c r="O28" s="4"/>
      <c r="P28" s="4"/>
      <c r="Q28" s="4"/>
      <c r="R28" s="4"/>
      <c r="S28" s="4"/>
      <c r="T28" s="4"/>
      <c r="U28" s="4"/>
      <c r="V28" s="4"/>
      <c r="W28" s="4"/>
      <c r="X28" s="4"/>
      <c r="Y28" s="4"/>
      <c r="Z28" s="4"/>
    </row>
    <row r="29" spans="1:26" ht="15.75" customHeight="1" x14ac:dyDescent="0.15">
      <c r="A29" s="4"/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</row>
    <row r="30" spans="1:26" ht="15.75" customHeight="1" x14ac:dyDescent="0.15">
      <c r="A30" s="4"/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</row>
    <row r="31" spans="1:26" ht="15.75" customHeight="1" x14ac:dyDescent="0.15">
      <c r="A31" s="4"/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</row>
    <row r="32" spans="1:26" ht="15.75" customHeight="1" x14ac:dyDescent="0.15">
      <c r="A32" s="4"/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</row>
    <row r="33" spans="1:26" ht="15.75" customHeight="1" x14ac:dyDescent="0.15">
      <c r="A33" s="4"/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</row>
    <row r="34" spans="1:26" ht="15.75" customHeight="1" x14ac:dyDescent="0.15">
      <c r="A34" s="4"/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</row>
    <row r="35" spans="1:26" ht="15.75" customHeight="1" x14ac:dyDescent="0.15">
      <c r="A35" s="4"/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</row>
    <row r="36" spans="1:26" ht="15.75" customHeight="1" x14ac:dyDescent="0.15">
      <c r="A36" s="4"/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</row>
    <row r="37" spans="1:26" ht="15.75" customHeight="1" x14ac:dyDescent="0.15">
      <c r="A37" s="4"/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</row>
    <row r="38" spans="1:26" ht="15.75" customHeight="1" x14ac:dyDescent="0.15">
      <c r="A38" s="4"/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</row>
    <row r="39" spans="1:26" ht="15.75" customHeight="1" x14ac:dyDescent="0.15">
      <c r="A39" s="4"/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</row>
    <row r="40" spans="1:26" ht="15.75" customHeight="1" x14ac:dyDescent="0.15">
      <c r="A40" s="4"/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</row>
    <row r="41" spans="1:26" ht="15.75" customHeight="1" x14ac:dyDescent="0.15">
      <c r="A41" s="4"/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</row>
    <row r="42" spans="1:26" ht="15.75" customHeight="1" x14ac:dyDescent="0.15">
      <c r="A42" s="4"/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</row>
    <row r="43" spans="1:26" ht="15.75" customHeight="1" x14ac:dyDescent="0.15">
      <c r="A43" s="4"/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</row>
    <row r="44" spans="1:26" ht="15.75" customHeight="1" x14ac:dyDescent="0.15">
      <c r="A44" s="4"/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</row>
    <row r="45" spans="1:26" ht="15.75" customHeight="1" x14ac:dyDescent="0.15">
      <c r="A45" s="4"/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</row>
    <row r="46" spans="1:26" ht="15.75" customHeight="1" x14ac:dyDescent="0.15">
      <c r="A46" s="4"/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</row>
    <row r="47" spans="1:26" ht="15.75" customHeight="1" x14ac:dyDescent="0.15">
      <c r="A47" s="4"/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</row>
    <row r="48" spans="1:26" ht="15.75" customHeight="1" x14ac:dyDescent="0.15">
      <c r="A48" s="4"/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</row>
    <row r="49" spans="1:26" ht="15.75" customHeight="1" x14ac:dyDescent="0.15">
      <c r="A49" s="4"/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</row>
    <row r="50" spans="1:26" ht="15.75" customHeight="1" x14ac:dyDescent="0.15">
      <c r="A50" s="4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</row>
    <row r="51" spans="1:26" ht="15.75" customHeight="1" x14ac:dyDescent="0.15">
      <c r="A51" s="4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</row>
    <row r="52" spans="1:26" ht="15.75" customHeight="1" x14ac:dyDescent="0.15">
      <c r="A52" s="4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</row>
    <row r="53" spans="1:26" ht="15.75" customHeight="1" x14ac:dyDescent="0.15">
      <c r="A53" s="4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</row>
    <row r="54" spans="1:26" ht="15.75" customHeight="1" x14ac:dyDescent="0.15">
      <c r="A54" s="4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</row>
    <row r="55" spans="1:26" ht="15.75" customHeight="1" x14ac:dyDescent="0.15">
      <c r="A55" s="4"/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</row>
    <row r="56" spans="1:26" ht="15.75" customHeight="1" x14ac:dyDescent="0.15">
      <c r="A56" s="4"/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</row>
    <row r="57" spans="1:26" ht="15.75" customHeight="1" x14ac:dyDescent="0.15">
      <c r="A57" s="4"/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</row>
    <row r="58" spans="1:26" ht="15.75" customHeight="1" x14ac:dyDescent="0.15">
      <c r="A58" s="4"/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</row>
    <row r="59" spans="1:26" ht="15.75" customHeight="1" x14ac:dyDescent="0.15">
      <c r="A59" s="4"/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</row>
    <row r="60" spans="1:26" ht="15.75" customHeight="1" x14ac:dyDescent="0.15">
      <c r="A60" s="4"/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</row>
    <row r="61" spans="1:26" ht="15.75" customHeight="1" x14ac:dyDescent="0.15">
      <c r="A61" s="4"/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</row>
    <row r="62" spans="1:26" ht="15.75" customHeight="1" x14ac:dyDescent="0.15">
      <c r="A62" s="4"/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</row>
    <row r="63" spans="1:26" ht="15.75" customHeight="1" x14ac:dyDescent="0.15">
      <c r="A63" s="4"/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</row>
    <row r="64" spans="1:26" ht="13" customHeight="1" x14ac:dyDescent="0.15">
      <c r="A64" s="4"/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</row>
    <row r="65" spans="1:26" ht="13" customHeight="1" x14ac:dyDescent="0.15">
      <c r="A65" s="4"/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</row>
    <row r="66" spans="1:26" ht="13" customHeight="1" x14ac:dyDescent="0.15">
      <c r="A66" s="4"/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</row>
    <row r="67" spans="1:26" ht="13" customHeight="1" x14ac:dyDescent="0.15">
      <c r="A67" s="4"/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</row>
    <row r="68" spans="1:26" ht="13" customHeight="1" x14ac:dyDescent="0.15">
      <c r="A68" s="4"/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</row>
    <row r="69" spans="1:26" ht="13" customHeight="1" x14ac:dyDescent="0.15">
      <c r="A69" s="4"/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</row>
    <row r="70" spans="1:26" ht="13" customHeight="1" x14ac:dyDescent="0.15">
      <c r="A70" s="4"/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</row>
    <row r="71" spans="1:26" ht="13" customHeight="1" x14ac:dyDescent="0.15">
      <c r="A71" s="4"/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</row>
    <row r="72" spans="1:26" ht="13" customHeight="1" x14ac:dyDescent="0.15">
      <c r="A72" s="4"/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</row>
    <row r="73" spans="1:26" ht="13" customHeight="1" x14ac:dyDescent="0.15">
      <c r="A73" s="4"/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</row>
    <row r="74" spans="1:26" ht="13" customHeight="1" x14ac:dyDescent="0.15">
      <c r="A74" s="4"/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</row>
    <row r="75" spans="1:26" ht="13" customHeight="1" x14ac:dyDescent="0.15">
      <c r="A75" s="4"/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</row>
    <row r="76" spans="1:26" ht="13" customHeight="1" x14ac:dyDescent="0.15">
      <c r="A76" s="4"/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</row>
    <row r="77" spans="1:26" ht="13" customHeight="1" x14ac:dyDescent="0.15">
      <c r="A77" s="4"/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</row>
    <row r="78" spans="1:26" ht="13" customHeight="1" x14ac:dyDescent="0.15">
      <c r="A78" s="4"/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</row>
    <row r="79" spans="1:26" ht="13" customHeight="1" x14ac:dyDescent="0.15">
      <c r="A79" s="4"/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</row>
    <row r="80" spans="1:26" ht="13" customHeight="1" x14ac:dyDescent="0.15">
      <c r="A80" s="4"/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</row>
    <row r="81" spans="1:26" ht="13" customHeight="1" x14ac:dyDescent="0.15">
      <c r="A81" s="4"/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</row>
    <row r="82" spans="1:26" ht="13" customHeight="1" x14ac:dyDescent="0.15">
      <c r="A82" s="4"/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</row>
    <row r="83" spans="1:26" ht="13" customHeight="1" x14ac:dyDescent="0.15">
      <c r="A83" s="4"/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</row>
    <row r="84" spans="1:26" ht="13" customHeight="1" x14ac:dyDescent="0.15">
      <c r="A84" s="4"/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</row>
    <row r="85" spans="1:26" ht="13" customHeight="1" x14ac:dyDescent="0.15">
      <c r="A85" s="4"/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</row>
    <row r="86" spans="1:26" ht="13" customHeight="1" x14ac:dyDescent="0.15">
      <c r="A86" s="4"/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</row>
    <row r="87" spans="1:26" ht="13" customHeight="1" x14ac:dyDescent="0.15">
      <c r="A87" s="4"/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</row>
    <row r="88" spans="1:26" ht="13" customHeight="1" x14ac:dyDescent="0.15">
      <c r="A88" s="4"/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</row>
    <row r="89" spans="1:26" ht="13" customHeight="1" x14ac:dyDescent="0.15">
      <c r="A89" s="4"/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</row>
    <row r="90" spans="1:26" ht="13" customHeight="1" x14ac:dyDescent="0.15">
      <c r="A90" s="4"/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</row>
    <row r="91" spans="1:26" ht="13" customHeight="1" x14ac:dyDescent="0.15">
      <c r="A91" s="4"/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</row>
    <row r="92" spans="1:26" ht="13" customHeight="1" x14ac:dyDescent="0.15">
      <c r="A92" s="4"/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</row>
    <row r="93" spans="1:26" ht="13" customHeight="1" x14ac:dyDescent="0.15">
      <c r="A93" s="4"/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</row>
    <row r="94" spans="1:26" ht="13" customHeight="1" x14ac:dyDescent="0.15">
      <c r="A94" s="4"/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</row>
    <row r="95" spans="1:26" ht="13" customHeight="1" x14ac:dyDescent="0.15">
      <c r="A95" s="4"/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</row>
    <row r="96" spans="1:26" ht="13" customHeight="1" x14ac:dyDescent="0.15">
      <c r="A96" s="4"/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</row>
    <row r="97" spans="1:26" ht="13" customHeight="1" x14ac:dyDescent="0.15">
      <c r="A97" s="4"/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</row>
    <row r="98" spans="1:26" ht="13" customHeight="1" x14ac:dyDescent="0.15">
      <c r="A98" s="4"/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</row>
    <row r="99" spans="1:26" ht="13" customHeight="1" x14ac:dyDescent="0.15">
      <c r="A99" s="4"/>
      <c r="B99" s="4"/>
      <c r="C99" s="4"/>
      <c r="D99" s="4"/>
      <c r="E99" s="4"/>
      <c r="F99" s="4"/>
      <c r="G99" s="4"/>
      <c r="H99" s="4"/>
      <c r="I99" s="4"/>
      <c r="J99" s="4"/>
      <c r="K99" s="4"/>
      <c r="L99" s="4"/>
      <c r="M99" s="4"/>
      <c r="N99" s="4"/>
      <c r="O99" s="4"/>
      <c r="P99" s="4"/>
      <c r="Q99" s="4"/>
      <c r="R99" s="4"/>
      <c r="S99" s="4"/>
      <c r="T99" s="4"/>
      <c r="U99" s="4"/>
      <c r="V99" s="4"/>
      <c r="W99" s="4"/>
      <c r="X99" s="4"/>
      <c r="Y99" s="4"/>
      <c r="Z99" s="4"/>
    </row>
    <row r="100" spans="1:26" ht="13" customHeight="1" x14ac:dyDescent="0.15">
      <c r="A100" s="4"/>
      <c r="B100" s="4"/>
      <c r="C100" s="4"/>
      <c r="D100" s="4"/>
      <c r="E100" s="4"/>
      <c r="F100" s="4"/>
      <c r="G100" s="4"/>
      <c r="H100" s="4"/>
      <c r="I100" s="4"/>
      <c r="J100" s="4"/>
      <c r="K100" s="4"/>
      <c r="L100" s="4"/>
      <c r="M100" s="4"/>
      <c r="N100" s="4"/>
      <c r="O100" s="4"/>
      <c r="P100" s="4"/>
      <c r="Q100" s="4"/>
      <c r="R100" s="4"/>
      <c r="S100" s="4"/>
      <c r="T100" s="4"/>
      <c r="U100" s="4"/>
      <c r="V100" s="4"/>
      <c r="W100" s="4"/>
      <c r="X100" s="4"/>
      <c r="Y100" s="4"/>
      <c r="Z100" s="4"/>
    </row>
  </sheetData>
  <mergeCells count="9">
    <mergeCell ref="B2:H3"/>
    <mergeCell ref="D6:E6"/>
    <mergeCell ref="B6:C6"/>
    <mergeCell ref="H6:I6"/>
    <mergeCell ref="B5:C5"/>
    <mergeCell ref="F5:G5"/>
    <mergeCell ref="D5:E5"/>
    <mergeCell ref="H5:I5"/>
    <mergeCell ref="F6:G6"/>
  </mergeCells>
  <pageMargins left="0.75" right="0.75" top="1" bottom="1" header="0.5" footer="0.5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J32"/>
  <sheetViews>
    <sheetView workbookViewId="0">
      <pane ySplit="3" topLeftCell="A4" activePane="bottomLeft" state="frozen"/>
      <selection pane="bottomLeft" sqref="A1:F1"/>
    </sheetView>
  </sheetViews>
  <sheetFormatPr baseColWidth="10" defaultColWidth="8.83203125" defaultRowHeight="13" x14ac:dyDescent="0.15"/>
  <sheetData>
    <row r="1" spans="1:10" ht="20" x14ac:dyDescent="0.2">
      <c r="A1" s="25" t="s">
        <v>33</v>
      </c>
      <c r="B1" s="23"/>
      <c r="C1" s="23"/>
      <c r="D1" s="23"/>
      <c r="E1" s="23"/>
      <c r="F1" s="23"/>
      <c r="G1" s="7"/>
      <c r="H1" s="7"/>
      <c r="I1" s="7"/>
      <c r="J1" s="7"/>
    </row>
    <row r="2" spans="1:10" x14ac:dyDescent="0.15">
      <c r="A2" s="7"/>
      <c r="B2" s="7"/>
      <c r="C2" s="7"/>
      <c r="D2" s="7"/>
      <c r="E2" s="7"/>
      <c r="F2" s="7"/>
      <c r="G2" s="7"/>
      <c r="H2" s="7"/>
      <c r="I2" s="7"/>
      <c r="J2" s="7"/>
    </row>
    <row r="3" spans="1:10" x14ac:dyDescent="0.15">
      <c r="A3" s="7"/>
      <c r="B3" s="7"/>
      <c r="C3" s="7"/>
      <c r="D3" s="7"/>
      <c r="E3" s="7"/>
      <c r="F3" s="7"/>
      <c r="G3" s="7"/>
      <c r="H3" s="7"/>
      <c r="I3" s="7"/>
      <c r="J3" s="7"/>
    </row>
    <row r="4" spans="1:10" x14ac:dyDescent="0.15">
      <c r="A4" s="8" t="s">
        <v>0</v>
      </c>
      <c r="B4" s="8" t="s">
        <v>2</v>
      </c>
      <c r="C4" s="8" t="s">
        <v>34</v>
      </c>
      <c r="D4" s="8" t="s">
        <v>35</v>
      </c>
      <c r="E4" s="8" t="s">
        <v>36</v>
      </c>
      <c r="F4" s="8" t="s">
        <v>37</v>
      </c>
      <c r="G4" s="8" t="s">
        <v>38</v>
      </c>
      <c r="H4" s="8" t="s">
        <v>39</v>
      </c>
      <c r="I4" s="8" t="s">
        <v>26</v>
      </c>
      <c r="J4" s="8" t="s">
        <v>40</v>
      </c>
    </row>
    <row r="5" spans="1:10" x14ac:dyDescent="0.15">
      <c r="A5" s="7" t="s">
        <v>4</v>
      </c>
      <c r="B5" s="7">
        <v>120000</v>
      </c>
      <c r="C5" s="7">
        <v>79700</v>
      </c>
      <c r="D5" s="7">
        <v>40300</v>
      </c>
      <c r="E5" s="7">
        <v>8</v>
      </c>
      <c r="F5" s="7">
        <v>4</v>
      </c>
      <c r="G5" s="7">
        <v>10075</v>
      </c>
      <c r="H5" s="7">
        <v>66.42</v>
      </c>
      <c r="I5" s="9" t="s">
        <v>30</v>
      </c>
      <c r="J5" s="10" t="s">
        <v>41</v>
      </c>
    </row>
    <row r="6" spans="1:10" x14ac:dyDescent="0.15">
      <c r="A6" s="7" t="s">
        <v>5</v>
      </c>
      <c r="B6" s="7">
        <v>6000000</v>
      </c>
      <c r="C6" s="7">
        <v>4165000</v>
      </c>
      <c r="D6" s="7">
        <v>1835000</v>
      </c>
      <c r="E6" s="7">
        <v>8</v>
      </c>
      <c r="F6" s="7">
        <v>4</v>
      </c>
      <c r="G6" s="7">
        <v>458750</v>
      </c>
      <c r="H6" s="7">
        <v>69.42</v>
      </c>
      <c r="I6" s="11" t="s">
        <v>29</v>
      </c>
      <c r="J6" s="10" t="s">
        <v>41</v>
      </c>
    </row>
    <row r="7" spans="1:10" x14ac:dyDescent="0.15">
      <c r="A7" s="7" t="s">
        <v>6</v>
      </c>
      <c r="B7" s="7">
        <v>60</v>
      </c>
      <c r="C7" s="7">
        <v>40</v>
      </c>
      <c r="D7" s="7">
        <v>20</v>
      </c>
      <c r="E7" s="7">
        <v>8</v>
      </c>
      <c r="F7" s="7">
        <v>4</v>
      </c>
      <c r="G7" s="7">
        <v>5</v>
      </c>
      <c r="H7" s="7">
        <v>66.67</v>
      </c>
      <c r="I7" s="11" t="s">
        <v>29</v>
      </c>
      <c r="J7" s="10" t="s">
        <v>41</v>
      </c>
    </row>
    <row r="8" spans="1:10" x14ac:dyDescent="0.15">
      <c r="A8" s="7" t="s">
        <v>7</v>
      </c>
      <c r="B8" s="7">
        <v>100</v>
      </c>
      <c r="C8" s="7">
        <v>53</v>
      </c>
      <c r="D8" s="7">
        <v>47</v>
      </c>
      <c r="E8" s="7">
        <v>8</v>
      </c>
      <c r="F8" s="7">
        <v>4</v>
      </c>
      <c r="G8" s="7">
        <v>11.75</v>
      </c>
      <c r="H8" s="7">
        <v>53</v>
      </c>
      <c r="I8" s="12" t="s">
        <v>31</v>
      </c>
      <c r="J8" s="12" t="s">
        <v>42</v>
      </c>
    </row>
    <row r="9" spans="1:10" x14ac:dyDescent="0.15">
      <c r="A9" s="7" t="s">
        <v>8</v>
      </c>
      <c r="B9" s="7">
        <v>240</v>
      </c>
      <c r="C9" s="7">
        <v>171</v>
      </c>
      <c r="D9" s="7">
        <v>69</v>
      </c>
      <c r="E9" s="7">
        <v>8</v>
      </c>
      <c r="F9" s="7">
        <v>4</v>
      </c>
      <c r="G9" s="7">
        <v>17.25</v>
      </c>
      <c r="H9" s="7">
        <v>71.25</v>
      </c>
      <c r="I9" s="11" t="s">
        <v>29</v>
      </c>
      <c r="J9" s="11" t="s">
        <v>43</v>
      </c>
    </row>
    <row r="10" spans="1:10" x14ac:dyDescent="0.15">
      <c r="A10" s="7" t="s">
        <v>9</v>
      </c>
      <c r="B10" s="7">
        <v>45000</v>
      </c>
      <c r="C10" s="7">
        <v>30340</v>
      </c>
      <c r="D10" s="7">
        <v>14660</v>
      </c>
      <c r="E10" s="7">
        <v>8</v>
      </c>
      <c r="F10" s="7">
        <v>4</v>
      </c>
      <c r="G10" s="7">
        <v>3665</v>
      </c>
      <c r="H10" s="7">
        <v>67.42</v>
      </c>
      <c r="I10" s="11" t="s">
        <v>29</v>
      </c>
      <c r="J10" s="10" t="s">
        <v>41</v>
      </c>
    </row>
    <row r="11" spans="1:10" x14ac:dyDescent="0.15">
      <c r="A11" s="7" t="s">
        <v>10</v>
      </c>
      <c r="B11" s="7">
        <v>8</v>
      </c>
      <c r="C11" s="7">
        <v>5.4</v>
      </c>
      <c r="D11" s="7">
        <v>2.6</v>
      </c>
      <c r="E11" s="7">
        <v>8</v>
      </c>
      <c r="F11" s="7">
        <v>4</v>
      </c>
      <c r="G11" s="7">
        <v>0.65</v>
      </c>
      <c r="H11" s="7">
        <v>67.5</v>
      </c>
      <c r="I11" s="11" t="s">
        <v>29</v>
      </c>
      <c r="J11" s="10" t="s">
        <v>41</v>
      </c>
    </row>
    <row r="12" spans="1:10" x14ac:dyDescent="0.15">
      <c r="A12" s="7" t="s">
        <v>11</v>
      </c>
      <c r="B12" s="7">
        <v>98</v>
      </c>
      <c r="C12" s="7">
        <v>64</v>
      </c>
      <c r="D12" s="7">
        <v>34</v>
      </c>
      <c r="E12" s="7">
        <v>8</v>
      </c>
      <c r="F12" s="7">
        <v>4</v>
      </c>
      <c r="G12" s="7">
        <v>8.5</v>
      </c>
      <c r="H12" s="7">
        <v>65.31</v>
      </c>
      <c r="I12" s="9" t="s">
        <v>30</v>
      </c>
      <c r="J12" s="10" t="s">
        <v>41</v>
      </c>
    </row>
    <row r="13" spans="1:10" x14ac:dyDescent="0.15">
      <c r="A13" s="7" t="s">
        <v>12</v>
      </c>
      <c r="B13" s="7">
        <v>96</v>
      </c>
      <c r="C13" s="7">
        <v>63</v>
      </c>
      <c r="D13" s="7">
        <v>33</v>
      </c>
      <c r="E13" s="7">
        <v>8</v>
      </c>
      <c r="F13" s="7">
        <v>4</v>
      </c>
      <c r="G13" s="7">
        <v>8.25</v>
      </c>
      <c r="H13" s="7">
        <v>65.62</v>
      </c>
      <c r="I13" s="9" t="s">
        <v>30</v>
      </c>
      <c r="J13" s="10" t="s">
        <v>41</v>
      </c>
    </row>
    <row r="14" spans="1:10" x14ac:dyDescent="0.15">
      <c r="A14" s="7" t="s">
        <v>13</v>
      </c>
      <c r="B14" s="7">
        <v>80000</v>
      </c>
      <c r="C14" s="7">
        <v>55900</v>
      </c>
      <c r="D14" s="7">
        <v>24100</v>
      </c>
      <c r="E14" s="7">
        <v>8</v>
      </c>
      <c r="F14" s="7">
        <v>4</v>
      </c>
      <c r="G14" s="7">
        <v>6025</v>
      </c>
      <c r="H14" s="7">
        <v>69.88</v>
      </c>
      <c r="I14" s="11" t="s">
        <v>29</v>
      </c>
      <c r="J14" s="10" t="s">
        <v>41</v>
      </c>
    </row>
    <row r="15" spans="1:10" x14ac:dyDescent="0.15">
      <c r="A15" s="7"/>
      <c r="B15" s="7"/>
      <c r="C15" s="7"/>
      <c r="D15" s="7"/>
      <c r="E15" s="7"/>
      <c r="F15" s="7"/>
      <c r="G15" s="7"/>
      <c r="H15" s="7"/>
      <c r="I15" s="7"/>
      <c r="J15" s="7"/>
    </row>
    <row r="16" spans="1:10" x14ac:dyDescent="0.15">
      <c r="A16" s="7"/>
      <c r="B16" s="7"/>
      <c r="C16" s="7"/>
      <c r="D16" s="7"/>
      <c r="E16" s="7"/>
      <c r="F16" s="7"/>
      <c r="G16" s="7"/>
      <c r="H16" s="7"/>
      <c r="I16" s="7"/>
      <c r="J16" s="7"/>
    </row>
    <row r="17" spans="1:10" x14ac:dyDescent="0.15">
      <c r="A17" s="7"/>
      <c r="B17" s="7"/>
      <c r="C17" s="7"/>
      <c r="D17" s="7"/>
      <c r="E17" s="7"/>
      <c r="F17" s="7"/>
      <c r="G17" s="7"/>
      <c r="H17" s="7"/>
      <c r="I17" s="7"/>
      <c r="J17" s="7"/>
    </row>
    <row r="18" spans="1:10" ht="18" x14ac:dyDescent="0.2">
      <c r="A18" s="13" t="s">
        <v>44</v>
      </c>
      <c r="B18" s="7"/>
      <c r="C18" s="7"/>
      <c r="D18" s="7"/>
      <c r="E18" s="7"/>
      <c r="F18" s="22" t="s">
        <v>45</v>
      </c>
      <c r="G18" s="23"/>
      <c r="H18" s="23"/>
      <c r="I18" s="7"/>
      <c r="J18" s="14" t="s">
        <v>46</v>
      </c>
    </row>
    <row r="19" spans="1:10" x14ac:dyDescent="0.15">
      <c r="A19" s="7" t="s">
        <v>47</v>
      </c>
      <c r="B19" s="7"/>
      <c r="C19" s="7"/>
      <c r="D19" s="7"/>
      <c r="E19" s="7"/>
      <c r="F19" s="7"/>
      <c r="G19" s="7"/>
      <c r="H19" s="7"/>
      <c r="I19" s="7"/>
      <c r="J19" s="7"/>
    </row>
    <row r="20" spans="1:10" x14ac:dyDescent="0.15">
      <c r="A20" s="7"/>
      <c r="B20" s="7"/>
      <c r="C20" s="7"/>
      <c r="D20" s="7"/>
      <c r="E20" s="7"/>
      <c r="F20" s="12" t="s">
        <v>48</v>
      </c>
      <c r="G20" s="7"/>
      <c r="H20" s="7"/>
      <c r="I20" s="7"/>
      <c r="J20" s="7" t="s">
        <v>49</v>
      </c>
    </row>
    <row r="21" spans="1:10" x14ac:dyDescent="0.15">
      <c r="A21" s="7" t="s">
        <v>50</v>
      </c>
      <c r="B21" s="7"/>
      <c r="C21" s="7"/>
      <c r="D21" s="7"/>
      <c r="E21" s="7"/>
      <c r="F21" s="11" t="s">
        <v>51</v>
      </c>
      <c r="G21" s="7"/>
      <c r="H21" s="7"/>
      <c r="I21" s="7"/>
      <c r="J21" s="7" t="s">
        <v>52</v>
      </c>
    </row>
    <row r="22" spans="1:10" x14ac:dyDescent="0.15">
      <c r="A22" s="11" t="s">
        <v>53</v>
      </c>
      <c r="B22" s="7"/>
      <c r="C22" s="7"/>
      <c r="D22" s="7"/>
      <c r="E22" s="7"/>
      <c r="F22" s="7" t="s">
        <v>54</v>
      </c>
      <c r="G22" s="7"/>
      <c r="H22" s="7"/>
      <c r="I22" s="7"/>
      <c r="J22" s="7" t="s">
        <v>55</v>
      </c>
    </row>
    <row r="23" spans="1:10" x14ac:dyDescent="0.15">
      <c r="A23" s="9" t="s">
        <v>56</v>
      </c>
      <c r="B23" s="7"/>
      <c r="C23" s="7"/>
      <c r="D23" s="7"/>
      <c r="E23" s="7"/>
      <c r="F23" s="9" t="s">
        <v>57</v>
      </c>
      <c r="G23" s="7"/>
      <c r="H23" s="7"/>
      <c r="I23" s="7"/>
      <c r="J23" s="7" t="s">
        <v>58</v>
      </c>
    </row>
    <row r="24" spans="1:10" x14ac:dyDescent="0.15">
      <c r="A24" s="12" t="s">
        <v>59</v>
      </c>
      <c r="B24" s="7"/>
      <c r="C24" s="7"/>
      <c r="D24" s="7"/>
      <c r="E24" s="7"/>
      <c r="F24" s="7" t="s">
        <v>60</v>
      </c>
      <c r="G24" s="7"/>
      <c r="H24" s="7"/>
      <c r="I24" s="7"/>
      <c r="J24" s="7" t="s">
        <v>61</v>
      </c>
    </row>
    <row r="25" spans="1:10" x14ac:dyDescent="0.15">
      <c r="A25" s="7" t="s">
        <v>54</v>
      </c>
      <c r="B25" s="7"/>
      <c r="C25" s="7"/>
      <c r="D25" s="7"/>
      <c r="E25" s="7"/>
      <c r="F25" s="14" t="s">
        <v>62</v>
      </c>
      <c r="G25" s="7"/>
      <c r="H25" s="7"/>
      <c r="I25" s="7"/>
      <c r="J25" s="7" t="s">
        <v>63</v>
      </c>
    </row>
    <row r="26" spans="1:10" x14ac:dyDescent="0.15">
      <c r="A26" s="7"/>
      <c r="B26" s="7"/>
      <c r="C26" s="7"/>
      <c r="D26" s="7"/>
      <c r="E26" s="7"/>
      <c r="F26" s="7"/>
      <c r="G26" s="7"/>
      <c r="H26" s="7"/>
      <c r="I26" s="7"/>
      <c r="J26" s="7" t="s">
        <v>64</v>
      </c>
    </row>
    <row r="27" spans="1:10" x14ac:dyDescent="0.15">
      <c r="A27" s="7"/>
      <c r="B27" s="7"/>
      <c r="C27" s="7"/>
      <c r="D27" s="7"/>
      <c r="E27" s="7"/>
      <c r="F27" s="7"/>
      <c r="G27" s="7"/>
      <c r="H27" s="7"/>
      <c r="I27" s="7"/>
      <c r="J27" s="7" t="s">
        <v>65</v>
      </c>
    </row>
    <row r="28" spans="1:10" x14ac:dyDescent="0.15">
      <c r="A28" s="14" t="s">
        <v>66</v>
      </c>
      <c r="B28" s="7"/>
      <c r="C28" s="7"/>
      <c r="D28" s="7"/>
      <c r="E28" s="7"/>
      <c r="F28" s="7"/>
      <c r="G28" s="7"/>
      <c r="H28" s="7"/>
      <c r="I28" s="7"/>
      <c r="J28" s="7" t="s">
        <v>67</v>
      </c>
    </row>
    <row r="29" spans="1:10" ht="120" customHeight="1" x14ac:dyDescent="0.15">
      <c r="A29" s="24" t="s">
        <v>68</v>
      </c>
      <c r="B29" s="23"/>
      <c r="C29" s="23"/>
      <c r="D29" s="23"/>
      <c r="E29" s="7"/>
      <c r="F29" s="7"/>
      <c r="G29" s="7"/>
      <c r="H29" s="7"/>
      <c r="I29" s="7"/>
      <c r="J29" s="7" t="s">
        <v>69</v>
      </c>
    </row>
    <row r="30" spans="1:10" x14ac:dyDescent="0.15">
      <c r="A30" s="23"/>
      <c r="B30" s="23"/>
      <c r="C30" s="23"/>
      <c r="D30" s="23"/>
      <c r="E30" s="7"/>
      <c r="F30" s="7"/>
      <c r="G30" s="7"/>
      <c r="H30" s="7"/>
      <c r="I30" s="7"/>
      <c r="J30" s="7"/>
    </row>
    <row r="31" spans="1:10" x14ac:dyDescent="0.15">
      <c r="A31" s="23"/>
      <c r="B31" s="23"/>
      <c r="C31" s="23"/>
      <c r="D31" s="23"/>
      <c r="E31" s="7"/>
      <c r="F31" s="7"/>
      <c r="G31" s="7"/>
      <c r="H31" s="7"/>
      <c r="I31" s="7"/>
      <c r="J31" s="7"/>
    </row>
    <row r="32" spans="1:10" x14ac:dyDescent="0.15">
      <c r="A32" s="23"/>
      <c r="B32" s="23"/>
      <c r="C32" s="23"/>
      <c r="D32" s="23"/>
      <c r="E32" s="7"/>
      <c r="F32" s="7"/>
      <c r="G32" s="7"/>
      <c r="H32" s="7"/>
      <c r="I32" s="7"/>
      <c r="J32" s="7"/>
    </row>
  </sheetData>
  <autoFilter ref="A4:J14" xr:uid="{00000000-0009-0000-0000-000003000000}"/>
  <mergeCells count="3">
    <mergeCell ref="F18:H18"/>
    <mergeCell ref="A29:D32"/>
    <mergeCell ref="A1:F1"/>
  </mergeCells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F15"/>
  <sheetViews>
    <sheetView workbookViewId="0">
      <pane ySplit="5" topLeftCell="A6" activePane="bottomLeft" state="frozen"/>
      <selection pane="bottomLeft" activeCell="C4" sqref="C4"/>
    </sheetView>
  </sheetViews>
  <sheetFormatPr baseColWidth="10" defaultColWidth="8.83203125" defaultRowHeight="13" x14ac:dyDescent="0.15"/>
  <cols>
    <col min="1" max="1" width="120" customWidth="1"/>
  </cols>
  <sheetData>
    <row r="1" spans="1:6" ht="20" x14ac:dyDescent="0.2">
      <c r="A1" s="26" t="s">
        <v>70</v>
      </c>
      <c r="B1" s="21"/>
      <c r="C1" s="21"/>
      <c r="D1" s="21"/>
      <c r="E1" s="21"/>
      <c r="F1" s="21"/>
    </row>
    <row r="3" spans="1:6" x14ac:dyDescent="0.15">
      <c r="A3" t="s">
        <v>71</v>
      </c>
      <c r="B3" t="s">
        <v>72</v>
      </c>
    </row>
    <row r="5" spans="1:6" x14ac:dyDescent="0.15">
      <c r="A5" s="15" t="s">
        <v>73</v>
      </c>
    </row>
    <row r="7" spans="1:6" ht="40" customHeight="1" x14ac:dyDescent="0.15">
      <c r="A7" s="6" t="s">
        <v>74</v>
      </c>
    </row>
    <row r="8" spans="1:6" ht="40" customHeight="1" x14ac:dyDescent="0.15"/>
    <row r="9" spans="1:6" ht="40" customHeight="1" x14ac:dyDescent="0.15">
      <c r="A9" s="6" t="s">
        <v>75</v>
      </c>
    </row>
    <row r="10" spans="1:6" ht="40" customHeight="1" x14ac:dyDescent="0.15"/>
    <row r="11" spans="1:6" ht="40" customHeight="1" x14ac:dyDescent="0.15">
      <c r="A11" s="6" t="s">
        <v>76</v>
      </c>
    </row>
    <row r="12" spans="1:6" ht="40" customHeight="1" x14ac:dyDescent="0.15"/>
    <row r="13" spans="1:6" ht="40" customHeight="1" x14ac:dyDescent="0.15">
      <c r="A13" s="6" t="s">
        <v>77</v>
      </c>
    </row>
    <row r="14" spans="1:6" ht="40" customHeight="1" x14ac:dyDescent="0.15"/>
    <row r="15" spans="1:6" ht="40" customHeight="1" x14ac:dyDescent="0.15"/>
  </sheetData>
  <mergeCells count="1">
    <mergeCell ref="A1:F1"/>
  </mergeCells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Settings</vt:lpstr>
      <vt:lpstr>Data Entry</vt:lpstr>
      <vt:lpstr>Dashboard</vt:lpstr>
      <vt:lpstr>Calculations</vt:lpstr>
      <vt:lpstr>AI Recommendations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Aniket Jain</cp:lastModifiedBy>
  <dcterms:created xsi:type="dcterms:W3CDTF">2026-06-05T06:49:45Z</dcterms:created>
  <dcterms:modified xsi:type="dcterms:W3CDTF">2026-06-06T06:14:39Z</dcterms:modified>
</cp:coreProperties>
</file>