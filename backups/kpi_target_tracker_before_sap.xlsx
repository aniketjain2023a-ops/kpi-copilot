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80" windowWidth="34200" windowHeight="21460" tabRatio="600" firstSheet="0" activeTab="1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Data Entry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Calculations" sheetId="4" state="visible" r:id="rId4"/>
    <sheet xmlns:r="http://schemas.openxmlformats.org/officeDocument/2006/relationships" name="AI Recommendations" sheetId="5" state="visible" r:id="rId5"/>
  </sheets>
  <definedNames>
    <definedName name="_xlnm._FilterDatabase" localSheetId="3" hidden="1">'Calculations'!$A$4:$J$14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Arial"/>
      <color rgb="FF000000"/>
      <sz val="10"/>
      <scheme val="minor"/>
    </font>
    <font>
      <name val="Arial"/>
      <family val="2"/>
      <b val="1"/>
      <color rgb="FFFFFFFF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rgb="FF3B5F90"/>
      <sz val="10"/>
      <scheme val="minor"/>
    </font>
    <font>
      <name val="Arial"/>
      <family val="2"/>
      <color rgb="FFEDEDF4"/>
      <sz val="10"/>
      <scheme val="minor"/>
    </font>
    <font>
      <name val="Arial"/>
      <family val="2"/>
      <b val="1"/>
      <color rgb="FF3B5F90"/>
      <sz val="24"/>
      <scheme val="minor"/>
    </font>
    <font>
      <name val="Arial"/>
      <family val="2"/>
      <b val="1"/>
      <color rgb="FF74777E"/>
      <sz val="12"/>
      <scheme val="minor"/>
    </font>
    <font>
      <name val="Arial"/>
      <family val="2"/>
      <b val="1"/>
      <color theme="1"/>
      <sz val="24"/>
      <scheme val="minor"/>
    </font>
    <font>
      <name val="Arial"/>
      <family val="2"/>
      <b val="1"/>
      <color rgb="FFFFFFFF"/>
      <sz val="16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14"/>
    </font>
    <font>
      <b val="1"/>
      <color rgb="00FFFFFF"/>
      <sz val="16"/>
    </font>
    <font>
      <b val="1"/>
      <color rgb="00FFFFFF"/>
    </font>
    <font>
      <b val="1"/>
      <color rgb="00FFFFFF"/>
      <sz val="14"/>
    </font>
  </fonts>
  <fills count="15">
    <fill>
      <patternFill/>
    </fill>
    <fill>
      <patternFill patternType="gray125"/>
    </fill>
    <fill>
      <patternFill patternType="solid">
        <fgColor rgb="FF3B5F90"/>
        <bgColor rgb="FF3B5F90"/>
      </patternFill>
    </fill>
    <fill>
      <patternFill patternType="solid">
        <fgColor rgb="FFEDEDF4"/>
        <bgColor rgb="FFEDEDF4"/>
      </patternFill>
    </fill>
    <fill>
      <patternFill patternType="solid">
        <fgColor rgb="FFFFFFFF"/>
        <bgColor rgb="FFFFFFFF"/>
      </patternFill>
    </fill>
    <fill>
      <patternFill patternType="solid">
        <fgColor rgb="FF1F4E78"/>
      </patternFill>
    </fill>
    <fill>
      <patternFill patternType="solid">
        <fgColor rgb="FFFFD966"/>
      </patternFill>
    </fill>
    <fill>
      <patternFill patternType="solid">
        <fgColor rgb="FF92D050"/>
      </patternFill>
    </fill>
    <fill>
      <patternFill patternType="solid">
        <fgColor rgb="FFFF6666"/>
      </patternFill>
    </fill>
    <fill>
      <patternFill patternType="solid">
        <fgColor rgb="FFD9D9D9"/>
      </patternFill>
    </fill>
    <fill>
      <patternFill patternType="solid">
        <fgColor rgb="001F4E78"/>
      </patternFill>
    </fill>
    <fill>
      <patternFill patternType="solid">
        <fgColor rgb="00FFD966"/>
      </patternFill>
    </fill>
    <fill>
      <patternFill patternType="solid">
        <fgColor rgb="0092D050"/>
      </patternFill>
    </fill>
    <fill>
      <patternFill patternType="solid">
        <fgColor rgb="00FF6666"/>
      </patternFill>
    </fill>
    <fill>
      <patternFill patternType="solid">
        <fgColor rgb="00D9D9D9"/>
      </patternFill>
    </fill>
  </fills>
  <borders count="27">
    <border>
      <left/>
      <right/>
      <top/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CCCCCC"/>
      </right>
      <top/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D9D9D9"/>
      </left>
      <right/>
      <top/>
      <bottom/>
      <diagonal/>
    </border>
    <border>
      <left/>
      <right style="thin">
        <color rgb="00D9D9D9"/>
      </right>
      <top/>
      <bottom/>
      <diagonal/>
    </border>
    <border>
      <left style="thin">
        <color rgb="00D9D9D9"/>
      </left>
      <right/>
      <top/>
      <bottom style="thin">
        <color rgb="00D9D9D9"/>
      </bottom>
      <diagonal/>
    </border>
    <border>
      <left/>
      <right/>
      <top/>
      <bottom style="thin">
        <color rgb="00D9D9D9"/>
      </bottom>
      <diagonal/>
    </border>
    <border>
      <left/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4" fillId="3" borderId="0" pivotButton="0" quotePrefix="0" xfId="0"/>
    <xf numFmtId="0" fontId="0" fillId="0" borderId="0" applyAlignment="1" pivotButton="0" quotePrefix="0" xfId="0">
      <alignment wrapText="1"/>
    </xf>
    <xf numFmtId="0" fontId="0" fillId="0" borderId="5" pivotButton="0" quotePrefix="0" xfId="0"/>
    <xf numFmtId="0" fontId="9" fillId="5" borderId="5" applyAlignment="1" pivotButton="0" quotePrefix="0" xfId="0">
      <alignment horizontal="center"/>
    </xf>
    <xf numFmtId="0" fontId="0" fillId="6" borderId="5" pivotButton="0" quotePrefix="0" xfId="0"/>
    <xf numFmtId="0" fontId="0" fillId="9" borderId="5" pivotButton="0" quotePrefix="0" xfId="0"/>
    <xf numFmtId="0" fontId="0" fillId="7" borderId="5" pivotButton="0" quotePrefix="0" xfId="0"/>
    <xf numFmtId="0" fontId="0" fillId="8" borderId="5" pivotButton="0" quotePrefix="0" xfId="0"/>
    <xf numFmtId="0" fontId="10" fillId="5" borderId="5" pivotButton="0" quotePrefix="0" xfId="0"/>
    <xf numFmtId="0" fontId="9" fillId="5" borderId="5" pivotButton="0" quotePrefix="0" xfId="0"/>
    <xf numFmtId="0" fontId="9" fillId="5" borderId="0" pivotButton="0" quotePrefix="0" xfId="0"/>
    <xf numFmtId="0" fontId="7" fillId="4" borderId="4" applyAlignment="1" pivotButton="0" quotePrefix="0" xfId="0">
      <alignment horizontal="center" vertical="center"/>
    </xf>
    <xf numFmtId="0" fontId="0" fillId="0" borderId="2" pivotButton="0" quotePrefix="0" xfId="0"/>
    <xf numFmtId="0" fontId="6" fillId="4" borderId="3" applyAlignment="1" pivotButton="0" quotePrefix="0" xfId="0">
      <alignment horizontal="center" vertical="center"/>
    </xf>
    <xf numFmtId="0" fontId="0" fillId="0" borderId="1" pivotButton="0" quotePrefix="0" xfId="0"/>
    <xf numFmtId="0" fontId="5" fillId="3" borderId="0" applyAlignment="1" pivotButton="0" quotePrefix="0" xfId="0">
      <alignment horizontal="center" vertical="center"/>
    </xf>
    <xf numFmtId="0" fontId="0" fillId="0" borderId="0" pivotButton="0" quotePrefix="0" xfId="0"/>
    <xf numFmtId="0" fontId="9" fillId="5" borderId="5" pivotButton="0" quotePrefix="0" xfId="0"/>
    <xf numFmtId="0" fontId="0" fillId="0" borderId="5" pivotButton="0" quotePrefix="0" xfId="0"/>
    <xf numFmtId="0" fontId="0" fillId="0" borderId="5" applyAlignment="1" pivotButton="0" quotePrefix="0" xfId="0">
      <alignment vertical="top" wrapText="1"/>
    </xf>
    <xf numFmtId="0" fontId="8" fillId="5" borderId="5" pivotButton="0" quotePrefix="0" xfId="0"/>
    <xf numFmtId="0" fontId="8" fillId="5" borderId="0" pivotButton="0" quotePrefix="0" xfId="0"/>
    <xf numFmtId="0" fontId="11" fillId="10" borderId="17" pivotButton="0" quotePrefix="0" xfId="0"/>
    <xf numFmtId="0" fontId="0" fillId="0" borderId="17" pivotButton="0" quotePrefix="0" xfId="0"/>
    <xf numFmtId="0" fontId="12" fillId="10" borderId="17" applyAlignment="1" pivotButton="0" quotePrefix="0" xfId="0">
      <alignment horizontal="center"/>
    </xf>
    <xf numFmtId="0" fontId="0" fillId="11" borderId="17" pivotButton="0" quotePrefix="0" xfId="0"/>
    <xf numFmtId="0" fontId="0" fillId="12" borderId="17" pivotButton="0" quotePrefix="0" xfId="0"/>
    <xf numFmtId="0" fontId="0" fillId="13" borderId="17" pivotButton="0" quotePrefix="0" xfId="0"/>
    <xf numFmtId="0" fontId="0" fillId="14" borderId="17" pivotButton="0" quotePrefix="0" xfId="0"/>
    <xf numFmtId="0" fontId="13" fillId="10" borderId="17" pivotButton="0" quotePrefix="0" xfId="0"/>
    <xf numFmtId="0" fontId="12" fillId="10" borderId="17" pivotButton="0" quotePrefix="0" xfId="0"/>
    <xf numFmtId="0" fontId="0" fillId="0" borderId="17" applyAlignment="1" pivotButton="0" quotePrefix="0" xfId="0">
      <alignment vertical="top" wrapText="1"/>
    </xf>
    <xf numFmtId="0" fontId="11" fillId="10" borderId="0" pivotButton="0" quotePrefix="0" xfId="0"/>
    <xf numFmtId="0" fontId="12" fillId="10" borderId="0" pivotButton="0" quotePrefix="0" xfId="0"/>
  </cellXfs>
  <cellStyles count="1">
    <cellStyle name="Normal" xfId="0" builtinId="0"/>
  </cellStyles>
  <dxfs count="10"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3B5F90"/>
          <bgColor rgb="FF3B5F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3B5F90"/>
          <bgColor rgb="FF3B5F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3B5F90"/>
          <bgColor rgb="FF3B5F90"/>
        </patternFill>
      </fill>
    </dxf>
  </dxfs>
  <tableStyles count="3" defaultTableStyle="TableStyleMedium9" defaultPivotStyle="PivotStyleLight16">
    <tableStyle name="Settings-style" pivot="0" count="3">
      <tableStyleElement type="headerRow" dxfId="9"/>
      <tableStyleElement type="firstRowStripe" dxfId="8"/>
      <tableStyleElement type="secondRowStripe" dxfId="7"/>
    </tableStyle>
    <tableStyle name="Data Entry-style" pivot="0" count="3">
      <tableStyleElement type="headerRow" dxfId="6"/>
      <tableStyleElement type="firstRowStripe" dxfId="5"/>
      <tableStyleElement type="secondRowStripe" dxfId="4"/>
    </tableStyle>
    <tableStyle name="Calculations-style" pivot="0" count="3">
      <tableStyleElement type="headerRow" dxfId="3"/>
      <tableStyleElement type="firstRowStripe" dxfId="2"/>
      <tableStyleElement type="secondRowStripe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KPI Achievement Percentage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strRef>
              <f>Calculations!$G$1</f>
              <strCache>
                <ptCount val="1"/>
              </strCache>
            </strRef>
          </tx>
          <spPr>
            <a:solidFill xmlns:a="http://schemas.openxmlformats.org/drawingml/2006/main">
              <a:srgbClr val="4285F4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cat>
            <strRef>
              <f>Calculations!$A$2:$A$11</f>
              <strCache>
                <ptCount val="10"/>
                <pt idx="2">
                  <v>Parameter Name</v>
                </pt>
                <pt idx="3">
                  <v>Production Volume</v>
                </pt>
                <pt idx="4">
                  <v>Sales Revenue</v>
                </pt>
                <pt idx="5">
                  <v>Dealer Addition</v>
                </pt>
                <pt idx="6">
                  <v>Customer Complaints</v>
                </pt>
                <pt idx="7">
                  <v>Safety Observations</v>
                </pt>
                <pt idx="8">
                  <v>Energy Consumption</v>
                </pt>
                <pt idx="9">
                  <v>Inventory Turnover</v>
                </pt>
              </strCache>
            </strRef>
          </cat>
          <val>
            <numRef>
              <f>Calculations!$G$2:$G$11</f>
              <numCache>
                <formatCode>General</formatCode>
                <ptCount val="10"/>
                <pt idx="2">
                  <v>0</v>
                </pt>
                <pt idx="3">
                  <v>10075</v>
                </pt>
                <pt idx="4">
                  <v>458750</v>
                </pt>
                <pt idx="5">
                  <v>5</v>
                </pt>
                <pt idx="6">
                  <v>11.75</v>
                </pt>
                <pt idx="7">
                  <v>17.25</v>
                </pt>
                <pt idx="8">
                  <v>3665</v>
                </pt>
                <pt idx="9">
                  <v>0.65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664720322"/>
        <axId val="1984080446"/>
      </barChart>
      <catAx>
        <axId val="664720322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1984080446"/>
        <crosses val="autoZero"/>
        <auto val="1"/>
        <lblAlgn val="ctr"/>
        <lblOffset val="100"/>
        <noMultiLvlLbl val="1"/>
      </catAx>
      <valAx>
        <axId val="1984080446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664720322"/>
        <crosses val="autoZero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en-US"/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Status Distribution</a:t>
            </a:r>
          </a:p>
        </rich>
      </tx>
      <overlay val="0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4285F4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EA4335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FBBC04"/>
              </a:solidFill>
              <a:ln xmlns:a="http://schemas.openxmlformats.org/drawingml/2006/main">
                <a:prstDash val="solid"/>
              </a:ln>
            </spPr>
          </dPt>
          <cat>
            <strRef>
              <f>Dashboard!$K$2:$K$4</f>
              <strCache>
                <ptCount val="3"/>
                <pt idx="0">
                  <v>On Track</v>
                </pt>
                <pt idx="1">
                  <v>Monitor</v>
                </pt>
                <pt idx="2">
                  <v>Critical</v>
                </pt>
              </strCache>
            </strRef>
          </cat>
          <val>
            <numRef>
              <f>Dashboard!$L$2:$L$4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en-US"/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Required Monthly Target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strRef>
              <f>Calculations!$F$1</f>
              <strCache>
                <ptCount val="1"/>
              </strCache>
            </strRef>
          </tx>
          <spPr>
            <a:solidFill xmlns:a="http://schemas.openxmlformats.org/drawingml/2006/main">
              <a:srgbClr val="4285F4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cat>
            <strRef>
              <f>Calculations!$A$2:$A$11</f>
              <strCache>
                <ptCount val="10"/>
                <pt idx="2">
                  <v>Parameter Name</v>
                </pt>
                <pt idx="3">
                  <v>Production Volume</v>
                </pt>
                <pt idx="4">
                  <v>Sales Revenue</v>
                </pt>
                <pt idx="5">
                  <v>Dealer Addition</v>
                </pt>
                <pt idx="6">
                  <v>Customer Complaints</v>
                </pt>
                <pt idx="7">
                  <v>Safety Observations</v>
                </pt>
                <pt idx="8">
                  <v>Energy Consumption</v>
                </pt>
                <pt idx="9">
                  <v>Inventory Turnover</v>
                </pt>
              </strCache>
            </strRef>
          </cat>
          <val>
            <numRef>
              <f>Calculations!$F$2:$F$11</f>
              <numCache>
                <formatCode>General</formatCode>
                <ptCount val="10"/>
                <pt idx="2">
                  <v>0</v>
                </pt>
                <pt idx="3">
                  <v>4</v>
                </pt>
                <pt idx="4">
                  <v>4</v>
                </pt>
                <pt idx="5">
                  <v>4</v>
                </pt>
                <pt idx="6">
                  <v>4</v>
                </pt>
                <pt idx="7">
                  <v>4</v>
                </pt>
                <pt idx="8">
                  <v>4</v>
                </pt>
                <pt idx="9">
                  <v>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522973808"/>
        <axId val="374550109"/>
      </barChart>
      <catAx>
        <axId val="1522973808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374550109"/>
        <crosses val="autoZero"/>
        <auto val="1"/>
        <lblAlgn val="ctr"/>
        <lblOffset val="100"/>
        <noMultiLvlLbl val="1"/>
      </catAx>
      <valAx>
        <axId val="374550109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1522973808"/>
        <crosses val="autoZero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en-US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3810000" cy="23812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5</col>
      <colOff>0</colOff>
      <row>7</row>
      <rowOff>0</rowOff>
    </from>
    <ext cx="3810000" cy="238125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1</col>
      <colOff>0</colOff>
      <row>20</row>
      <rowOff>0</rowOff>
    </from>
    <ext cx="7620000" cy="238125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fLocksWithSheet="0"/>
  </oneCellAnchor>
</wsDr>
</file>

<file path=xl/tables/table1.xml><?xml version="1.0" encoding="utf-8"?>
<table xmlns="http://schemas.openxmlformats.org/spreadsheetml/2006/main" id="1" name="Table_1" displayName="Table_1" ref="A1:D11" headerRowCount="1">
  <tableColumns count="4">
    <tableColumn id="1" name="Parameter Name"/>
    <tableColumn id="2" name="Previous Year Actual"/>
    <tableColumn id="3" name="Annual Goal"/>
    <tableColumn id="4" name="Quarterly Goal"/>
  </tableColumns>
  <tableStyleInfo name="Settings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M11" headerRowCount="1">
  <tableColumns count="13">
    <tableColumn id="1" name="Parameter Name"/>
    <tableColumn id="2" name="Apr"/>
    <tableColumn id="3" name="May"/>
    <tableColumn id="4" name="Jun"/>
    <tableColumn id="5" name="Jul"/>
    <tableColumn id="6" name="Aug"/>
    <tableColumn id="7" name="Sep"/>
    <tableColumn id="8" name="Oct"/>
    <tableColumn id="9" name="Nov"/>
    <tableColumn id="10" name="Dec" dataDxfId="0"/>
    <tableColumn id="11" name="Jan"/>
    <tableColumn id="12" name="Feb"/>
    <tableColumn id="13" name="Mar"/>
  </tableColumns>
  <tableStyleInfo name="Data Entr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0" summaryRight="0"/>
    <pageSetUpPr/>
  </sheetPr>
  <dimension ref="A1:D11"/>
  <sheetViews>
    <sheetView workbookViewId="0">
      <selection activeCell="G24" sqref="G24"/>
    </sheetView>
  </sheetViews>
  <sheetFormatPr baseColWidth="10" defaultColWidth="12.6640625" defaultRowHeight="15.75" customHeight="1"/>
  <cols>
    <col width="20.5" customWidth="1" style="21" min="1" max="1"/>
  </cols>
  <sheetData>
    <row r="1" ht="15.75" customHeight="1" s="21">
      <c r="A1" s="1" t="inlineStr">
        <is>
          <t>Parameter Name</t>
        </is>
      </c>
      <c r="B1" s="1" t="inlineStr">
        <is>
          <t>Previous Year Actual</t>
        </is>
      </c>
      <c r="C1" s="1" t="inlineStr">
        <is>
          <t>Annual Goal</t>
        </is>
      </c>
      <c r="D1" s="1" t="inlineStr">
        <is>
          <t>Quarterly Goal</t>
        </is>
      </c>
    </row>
    <row r="2" ht="15.75" customHeight="1" s="21">
      <c r="A2" s="2" t="inlineStr">
        <is>
          <t>Production Volume</t>
        </is>
      </c>
      <c r="B2" s="2" t="n">
        <v>100000</v>
      </c>
      <c r="C2" s="2" t="n">
        <v>120000</v>
      </c>
      <c r="D2" s="2" t="n">
        <v>30000</v>
      </c>
    </row>
    <row r="3" ht="15.75" customHeight="1" s="21">
      <c r="A3" s="2" t="inlineStr">
        <is>
          <t>Sales Revenue</t>
        </is>
      </c>
      <c r="B3" s="2" t="n">
        <v>5000000</v>
      </c>
      <c r="C3" s="2" t="n">
        <v>6000000</v>
      </c>
      <c r="D3" s="2" t="n">
        <v>1500000</v>
      </c>
    </row>
    <row r="4" ht="15.75" customHeight="1" s="21">
      <c r="A4" s="2" t="inlineStr">
        <is>
          <t>Dealer Addition</t>
        </is>
      </c>
      <c r="B4" s="2" t="n">
        <v>45</v>
      </c>
      <c r="C4" s="2" t="n">
        <v>60</v>
      </c>
      <c r="D4" s="2" t="n">
        <v>15</v>
      </c>
    </row>
    <row r="5" ht="15.75" customHeight="1" s="21">
      <c r="A5" s="2" t="inlineStr">
        <is>
          <t>Customer Complaints</t>
        </is>
      </c>
      <c r="B5" s="2" t="n">
        <v>150</v>
      </c>
      <c r="C5" s="2" t="n">
        <v>100</v>
      </c>
      <c r="D5" s="2" t="n">
        <v>25</v>
      </c>
    </row>
    <row r="6" ht="15.75" customHeight="1" s="21">
      <c r="A6" s="2" t="inlineStr">
        <is>
          <t>Safety Observations</t>
        </is>
      </c>
      <c r="B6" s="2" t="n">
        <v>200</v>
      </c>
      <c r="C6" s="2" t="n">
        <v>240</v>
      </c>
      <c r="D6" s="2" t="n">
        <v>60</v>
      </c>
    </row>
    <row r="7" ht="15.75" customHeight="1" s="21">
      <c r="A7" s="2" t="inlineStr">
        <is>
          <t>Energy Consumption</t>
        </is>
      </c>
      <c r="B7" s="2" t="n">
        <v>50000</v>
      </c>
      <c r="C7" s="2" t="n">
        <v>45000</v>
      </c>
      <c r="D7" s="2" t="n">
        <v>11250</v>
      </c>
    </row>
    <row r="8" ht="15.75" customHeight="1" s="21">
      <c r="A8" s="2" t="inlineStr">
        <is>
          <t>Inventory Turnover</t>
        </is>
      </c>
      <c r="B8" s="2" t="n">
        <v>5</v>
      </c>
      <c r="C8" s="2" t="n">
        <v>8</v>
      </c>
      <c r="D8" s="2" t="n">
        <v>2</v>
      </c>
    </row>
    <row r="9" ht="15.75" customHeight="1" s="21">
      <c r="A9" s="2" t="inlineStr">
        <is>
          <t>OTIF Delivery (%)</t>
        </is>
      </c>
      <c r="B9" s="2" t="n">
        <v>90</v>
      </c>
      <c r="C9" s="2" t="n">
        <v>98</v>
      </c>
      <c r="D9" s="2" t="n">
        <v>24.5</v>
      </c>
    </row>
    <row r="10" ht="15.75" customHeight="1" s="21">
      <c r="A10" s="2" t="inlineStr">
        <is>
          <t>Quality Score (%)</t>
        </is>
      </c>
      <c r="B10" s="2" t="n">
        <v>92</v>
      </c>
      <c r="C10" s="2" t="n">
        <v>96</v>
      </c>
      <c r="D10" s="2" t="n">
        <v>24</v>
      </c>
    </row>
    <row r="11" ht="15.75" customHeight="1" s="21">
      <c r="A11" s="2" t="inlineStr">
        <is>
          <t>Cost Reduction ($)</t>
        </is>
      </c>
      <c r="B11" s="2" t="n">
        <v>50000</v>
      </c>
      <c r="C11" s="2" t="n">
        <v>80000</v>
      </c>
      <c r="D11" s="2" t="n">
        <v>20000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0" summaryRight="0"/>
    <pageSetUpPr/>
  </sheetPr>
  <dimension ref="A1:M13"/>
  <sheetViews>
    <sheetView tabSelected="1" workbookViewId="0">
      <selection activeCell="M17" sqref="M17"/>
    </sheetView>
  </sheetViews>
  <sheetFormatPr baseColWidth="10" defaultColWidth="12.6640625" defaultRowHeight="15.75" customHeight="1"/>
  <cols>
    <col width="17.1640625" customWidth="1" style="21" min="1" max="1"/>
  </cols>
  <sheetData>
    <row r="1" ht="15.75" customHeight="1" s="21">
      <c r="A1" s="1" t="inlineStr">
        <is>
          <t>Parameter Name</t>
        </is>
      </c>
      <c r="B1" s="1" t="inlineStr">
        <is>
          <t>Apr</t>
        </is>
      </c>
      <c r="C1" s="1" t="inlineStr">
        <is>
          <t>May</t>
        </is>
      </c>
      <c r="D1" s="1" t="inlineStr">
        <is>
          <t>Jun</t>
        </is>
      </c>
      <c r="E1" s="1" t="inlineStr">
        <is>
          <t>Jul</t>
        </is>
      </c>
      <c r="F1" s="1" t="inlineStr">
        <is>
          <t>Aug</t>
        </is>
      </c>
      <c r="G1" s="1" t="inlineStr">
        <is>
          <t>Sep</t>
        </is>
      </c>
      <c r="H1" s="1" t="inlineStr">
        <is>
          <t>Oct</t>
        </is>
      </c>
      <c r="I1" s="1" t="inlineStr">
        <is>
          <t>Nov</t>
        </is>
      </c>
      <c r="J1" s="1" t="inlineStr">
        <is>
          <t>Dec</t>
        </is>
      </c>
      <c r="K1" s="1" t="inlineStr">
        <is>
          <t>Jan</t>
        </is>
      </c>
      <c r="L1" s="1" t="inlineStr">
        <is>
          <t>Feb</t>
        </is>
      </c>
      <c r="M1" s="1" t="inlineStr">
        <is>
          <t>Mar</t>
        </is>
      </c>
    </row>
    <row r="2" ht="15.75" customHeight="1" s="21">
      <c r="A2" s="2">
        <f>Settings!A2</f>
        <v/>
      </c>
      <c r="B2" s="2" t="n">
        <v>9500</v>
      </c>
      <c r="C2" s="2" t="n">
        <v>10200</v>
      </c>
      <c r="D2" s="2" t="n">
        <v>10500</v>
      </c>
      <c r="E2" s="2" t="n">
        <v>9800</v>
      </c>
      <c r="F2" s="2" t="n">
        <v>10100</v>
      </c>
      <c r="G2" s="2" t="n">
        <v>9500</v>
      </c>
      <c r="H2" s="2" t="n">
        <v>7200</v>
      </c>
      <c r="I2" s="2" t="n">
        <v>12900</v>
      </c>
      <c r="J2" s="2" t="n">
        <v>9500</v>
      </c>
      <c r="K2" s="2" t="n"/>
      <c r="L2" s="2" t="n"/>
      <c r="M2" s="2" t="n"/>
    </row>
    <row r="3" ht="15.75" customHeight="1" s="21">
      <c r="A3" s="2">
        <f>Settings!A3</f>
        <v/>
      </c>
      <c r="B3" s="2" t="n">
        <v>480000</v>
      </c>
      <c r="C3" s="2" t="n">
        <v>510000</v>
      </c>
      <c r="D3" s="2" t="n">
        <v>520000</v>
      </c>
      <c r="E3" s="2" t="n">
        <v>490000</v>
      </c>
      <c r="F3" s="2" t="n">
        <v>505000</v>
      </c>
      <c r="G3" s="2" t="n">
        <v>480000</v>
      </c>
      <c r="H3" s="2" t="n">
        <v>290000</v>
      </c>
      <c r="I3" s="2" t="n">
        <v>890000</v>
      </c>
      <c r="J3" s="2" t="n">
        <v>480000</v>
      </c>
      <c r="K3" s="2" t="n"/>
      <c r="L3" s="2" t="n"/>
      <c r="M3" s="2" t="n"/>
    </row>
    <row r="4" ht="15.75" customHeight="1" s="21">
      <c r="A4" s="2">
        <f>Settings!A4</f>
        <v/>
      </c>
      <c r="B4" s="2" t="n">
        <v>4</v>
      </c>
      <c r="C4" s="2" t="n">
        <v>6</v>
      </c>
      <c r="D4" s="2" t="n">
        <v>5</v>
      </c>
      <c r="E4" s="2" t="n">
        <v>4</v>
      </c>
      <c r="F4" s="2" t="n">
        <v>5</v>
      </c>
      <c r="G4" s="2" t="n">
        <v>3</v>
      </c>
      <c r="H4" s="2" t="n">
        <v>1</v>
      </c>
      <c r="I4" s="2" t="n">
        <v>12</v>
      </c>
      <c r="J4" s="2" t="n">
        <v>3</v>
      </c>
      <c r="K4" s="2" t="n"/>
      <c r="L4" s="2" t="n"/>
      <c r="M4" s="2" t="n"/>
    </row>
    <row r="5" ht="15.75" customHeight="1" s="21">
      <c r="A5" s="2">
        <f>Settings!A5</f>
        <v/>
      </c>
      <c r="B5" s="2" t="n">
        <v>8</v>
      </c>
      <c r="C5" s="2" t="n">
        <v>7</v>
      </c>
      <c r="D5" s="2" t="n">
        <v>9</v>
      </c>
      <c r="E5" s="2" t="n">
        <v>8</v>
      </c>
      <c r="F5" s="2" t="n">
        <v>6</v>
      </c>
      <c r="G5" s="2" t="n">
        <v>10</v>
      </c>
      <c r="H5" s="2" t="n">
        <v>5</v>
      </c>
      <c r="I5" s="2" t="n">
        <v>0</v>
      </c>
      <c r="J5" s="2" t="n">
        <v>10</v>
      </c>
      <c r="K5" s="2" t="n"/>
      <c r="L5" s="2" t="n"/>
      <c r="M5" s="2" t="n"/>
    </row>
    <row r="6" ht="15.75" customHeight="1" s="21">
      <c r="A6" s="2">
        <f>Settings!A6</f>
        <v/>
      </c>
      <c r="B6" s="2" t="n">
        <v>20</v>
      </c>
      <c r="C6" s="2" t="n">
        <v>22</v>
      </c>
      <c r="D6" s="2" t="n">
        <v>19</v>
      </c>
      <c r="E6" s="2" t="n">
        <v>21</v>
      </c>
      <c r="F6" s="2" t="n">
        <v>20</v>
      </c>
      <c r="G6" s="2" t="n">
        <v>23</v>
      </c>
      <c r="H6" s="2" t="n">
        <v>17</v>
      </c>
      <c r="I6" s="2" t="n">
        <v>29</v>
      </c>
      <c r="J6" s="2" t="n">
        <v>23</v>
      </c>
      <c r="K6" s="2" t="n"/>
      <c r="L6" s="2" t="n"/>
      <c r="M6" s="2" t="n"/>
    </row>
    <row r="7" ht="15.75" customHeight="1" s="21">
      <c r="A7" s="2">
        <f>Settings!A7</f>
        <v/>
      </c>
      <c r="B7" s="2" t="n">
        <v>3800</v>
      </c>
      <c r="C7" s="2" t="n">
        <v>3900</v>
      </c>
      <c r="D7" s="2" t="n">
        <v>3700</v>
      </c>
      <c r="E7" s="2" t="n">
        <v>3850</v>
      </c>
      <c r="F7" s="2" t="n">
        <v>3800</v>
      </c>
      <c r="G7" s="2" t="n">
        <v>3690</v>
      </c>
      <c r="H7" s="2" t="n">
        <v>4800</v>
      </c>
      <c r="I7" s="2" t="n">
        <v>2800</v>
      </c>
      <c r="J7" s="2" t="n">
        <v>3690</v>
      </c>
      <c r="K7" s="2" t="n"/>
      <c r="L7" s="2" t="n"/>
      <c r="M7" s="2" t="n"/>
    </row>
    <row r="8" ht="15.75" customHeight="1" s="21">
      <c r="A8" s="2">
        <f>Settings!A8</f>
        <v/>
      </c>
      <c r="B8" s="2" t="n">
        <v>0.6</v>
      </c>
      <c r="C8" s="2" t="n">
        <v>0.7</v>
      </c>
      <c r="D8" s="2" t="n">
        <v>0.6</v>
      </c>
      <c r="E8" s="2" t="n">
        <v>0.8</v>
      </c>
      <c r="F8" s="2" t="n">
        <v>0.7</v>
      </c>
      <c r="G8" s="2" t="n">
        <v>0.9</v>
      </c>
      <c r="H8" s="2" t="n">
        <v>0.2</v>
      </c>
      <c r="I8" s="2" t="n">
        <v>0.9</v>
      </c>
      <c r="J8" s="2" t="n">
        <v>0.9</v>
      </c>
      <c r="K8" s="2" t="n"/>
      <c r="L8" s="2" t="n"/>
      <c r="M8" s="2" t="n"/>
    </row>
    <row r="9" ht="15.75" customHeight="1" s="21">
      <c r="A9" s="2">
        <f>Settings!A9</f>
        <v/>
      </c>
      <c r="B9" s="2" t="n">
        <v>8</v>
      </c>
      <c r="C9" s="2" t="n">
        <v>8</v>
      </c>
      <c r="D9" s="2" t="n">
        <v>8</v>
      </c>
      <c r="E9" s="2" t="n">
        <v>8</v>
      </c>
      <c r="F9" s="2" t="n">
        <v>8</v>
      </c>
      <c r="G9" s="2" t="n">
        <v>8</v>
      </c>
      <c r="H9" s="2" t="n">
        <v>6</v>
      </c>
      <c r="I9" s="2" t="n">
        <v>10</v>
      </c>
      <c r="J9" s="2" t="n">
        <v>8</v>
      </c>
      <c r="K9" s="2" t="n"/>
      <c r="L9" s="2" t="n"/>
      <c r="M9" s="2" t="n"/>
    </row>
    <row r="10" ht="15.75" customHeight="1" s="21">
      <c r="A10" s="2">
        <f>Settings!A10</f>
        <v/>
      </c>
      <c r="B10" s="2" t="n">
        <v>8</v>
      </c>
      <c r="C10" s="2" t="n">
        <v>8</v>
      </c>
      <c r="D10" s="2" t="n">
        <v>8</v>
      </c>
      <c r="E10" s="2" t="n">
        <v>8</v>
      </c>
      <c r="F10" s="2" t="n">
        <v>8</v>
      </c>
      <c r="G10" s="2" t="n">
        <v>9</v>
      </c>
      <c r="H10" s="2" t="n">
        <v>4</v>
      </c>
      <c r="I10" s="2" t="n">
        <v>10</v>
      </c>
      <c r="J10" s="2" t="n">
        <v>9</v>
      </c>
      <c r="K10" s="2" t="n"/>
      <c r="L10" s="2" t="n"/>
      <c r="M10" s="2" t="n"/>
    </row>
    <row r="11" ht="15.75" customHeight="1" s="21">
      <c r="A11" s="2">
        <f>Settings!A11</f>
        <v/>
      </c>
      <c r="B11" s="2" t="n">
        <v>6000</v>
      </c>
      <c r="C11" s="2" t="n">
        <v>7000</v>
      </c>
      <c r="D11" s="2" t="n">
        <v>6500</v>
      </c>
      <c r="E11" s="2" t="n">
        <v>6800</v>
      </c>
      <c r="F11" s="2" t="n">
        <v>7200</v>
      </c>
      <c r="G11" s="2" t="n">
        <v>7500</v>
      </c>
      <c r="H11" s="2" t="n">
        <v>4900</v>
      </c>
      <c r="I11" s="2" t="n">
        <v>10000</v>
      </c>
      <c r="J11" s="2" t="n">
        <v>7500</v>
      </c>
      <c r="K11" s="2" t="n"/>
      <c r="L11" s="2" t="n"/>
      <c r="M11" s="2" t="n"/>
    </row>
    <row r="13" ht="15.75" customHeight="1" s="21">
      <c r="J13" s="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0" summaryRight="0"/>
    <pageSetUpPr/>
  </sheetPr>
  <dimension ref="A1:Z100"/>
  <sheetViews>
    <sheetView workbookViewId="0">
      <selection activeCell="A1" sqref="A1"/>
    </sheetView>
  </sheetViews>
  <sheetFormatPr baseColWidth="10" defaultColWidth="12.6640625" defaultRowHeight="15.75" customHeight="1"/>
  <sheetData>
    <row r="1" ht="15.75" customHeight="1" s="21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5" t="inlineStr">
        <is>
          <t>Status</t>
        </is>
      </c>
      <c r="L1" s="5" t="inlineStr">
        <is>
          <t>Count</t>
        </is>
      </c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5.75" customHeight="1" s="21">
      <c r="A2" s="4" t="n"/>
      <c r="B2" s="20" t="inlineStr">
        <is>
          <t>Executive KPI Dashboard</t>
        </is>
      </c>
      <c r="I2" s="4" t="n"/>
      <c r="J2" s="4" t="n"/>
      <c r="K2" s="5" t="inlineStr">
        <is>
          <t>On Track</t>
        </is>
      </c>
      <c r="L2" s="5">
        <f>D6</f>
        <v/>
      </c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5.75" customHeight="1" s="21">
      <c r="A3" s="4" t="n"/>
      <c r="I3" s="4" t="n"/>
      <c r="J3" s="4" t="n"/>
      <c r="K3" s="5" t="inlineStr">
        <is>
          <t>Monitor</t>
        </is>
      </c>
      <c r="L3" s="5">
        <f>F6</f>
        <v/>
      </c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5.75" customHeight="1" s="2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5" t="inlineStr">
        <is>
          <t>Critical</t>
        </is>
      </c>
      <c r="L4" s="5">
        <f>H6</f>
        <v/>
      </c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5.75" customHeight="1" s="21">
      <c r="A5" s="4" t="n"/>
      <c r="B5" s="18" t="inlineStr">
        <is>
          <t>Total KPIs</t>
        </is>
      </c>
      <c r="C5" s="19" t="n"/>
      <c r="D5" s="18" t="inlineStr">
        <is>
          <t>On Track</t>
        </is>
      </c>
      <c r="E5" s="19" t="n"/>
      <c r="F5" s="18" t="inlineStr">
        <is>
          <t>Monitor</t>
        </is>
      </c>
      <c r="G5" s="19" t="n"/>
      <c r="H5" s="18" t="inlineStr">
        <is>
          <t>Critical</t>
        </is>
      </c>
      <c r="I5" s="19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5.75" customHeight="1" s="21">
      <c r="A6" s="4" t="n"/>
      <c r="B6" s="16">
        <f>COUNTA(Calculations!A2:A11)</f>
        <v/>
      </c>
      <c r="C6" s="17" t="n"/>
      <c r="D6" s="16">
        <f>COUNTIF(Calculations!J2:J11, "On Track")</f>
        <v/>
      </c>
      <c r="E6" s="17" t="n"/>
      <c r="F6" s="16">
        <f>COUNTIF(Calculations!J2:J11, "Monitor")</f>
        <v/>
      </c>
      <c r="G6" s="17" t="n"/>
      <c r="H6" s="16">
        <f>COUNTIF(Calculations!J2:J11, "Critical")</f>
        <v/>
      </c>
      <c r="I6" s="17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5.75" customHeight="1" s="2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5.75" customHeight="1" s="2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5.75" customHeight="1" s="2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5.75" customHeight="1" s="2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5.75" customHeight="1" s="2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5.75" customHeight="1" s="2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5.75" customHeight="1" s="2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5.75" customHeight="1" s="2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5.75" customHeight="1" s="2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5.75" customHeight="1" s="2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5.75" customHeight="1" s="2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5.75" customHeight="1" s="2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5.75" customHeight="1" s="2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5.75" customHeight="1" s="2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2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2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2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2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2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2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2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2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2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2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2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2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2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2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2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2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2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2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2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2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2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2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2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2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2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2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2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2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2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2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2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2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2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2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2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2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2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2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2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2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2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2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3" customHeight="1" s="2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3" customHeight="1" s="2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3" customHeight="1" s="2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3" customHeight="1" s="2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3" customHeight="1" s="2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3" customHeight="1" s="2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3" customHeight="1" s="2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3" customHeight="1" s="2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3" customHeight="1" s="2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3" customHeight="1" s="2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3" customHeight="1" s="2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3" customHeight="1" s="2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3" customHeight="1" s="2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3" customHeight="1" s="2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3" customHeight="1" s="2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3" customHeight="1" s="2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3" customHeight="1" s="2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3" customHeight="1" s="2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3" customHeight="1" s="2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3" customHeight="1" s="2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3" customHeight="1" s="2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3" customHeight="1" s="2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3" customHeight="1" s="2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3" customHeight="1" s="2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3" customHeight="1" s="2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3" customHeight="1" s="2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3" customHeight="1" s="2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3" customHeight="1" s="2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3" customHeight="1" s="2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3" customHeight="1" s="2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3" customHeight="1" s="2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3" customHeight="1" s="2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3" customHeight="1" s="2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3" customHeight="1" s="2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3" customHeight="1" s="2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3" customHeight="1" s="2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3" customHeight="1" s="2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</sheetData>
  <mergeCells count="9">
    <mergeCell ref="D6:E6"/>
    <mergeCell ref="B6:C6"/>
    <mergeCell ref="H6:I6"/>
    <mergeCell ref="B5:C5"/>
    <mergeCell ref="F5:G5"/>
    <mergeCell ref="D5:E5"/>
    <mergeCell ref="H5:I5"/>
    <mergeCell ref="F6:G6"/>
    <mergeCell ref="B2:H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27" t="inlineStr">
        <is>
          <t>KPI COPILOT MANAGEMENT REPORT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</row>
    <row r="2">
      <c r="A2" s="28" t="n"/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</row>
    <row r="3">
      <c r="A3" s="28" t="n"/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</row>
    <row r="4">
      <c r="A4" s="29" t="inlineStr">
        <is>
          <t>Parameter Name</t>
        </is>
      </c>
      <c r="B4" s="29" t="inlineStr">
        <is>
          <t>Annual Goal</t>
        </is>
      </c>
      <c r="C4" s="29" t="inlineStr">
        <is>
          <t>Achieved</t>
        </is>
      </c>
      <c r="D4" s="29" t="inlineStr">
        <is>
          <t>Remaining Target</t>
        </is>
      </c>
      <c r="E4" s="29" t="inlineStr">
        <is>
          <t>Months Completed</t>
        </is>
      </c>
      <c r="F4" s="29" t="inlineStr">
        <is>
          <t>Months Remaining</t>
        </is>
      </c>
      <c r="G4" s="29" t="inlineStr">
        <is>
          <t>Required Monthly Target</t>
        </is>
      </c>
      <c r="H4" s="29" t="inlineStr">
        <is>
          <t>Achievement %</t>
        </is>
      </c>
      <c r="I4" s="29" t="inlineStr">
        <is>
          <t>Status</t>
        </is>
      </c>
      <c r="J4" s="29" t="inlineStr">
        <is>
          <t>Trend</t>
        </is>
      </c>
    </row>
    <row r="5">
      <c r="A5" s="28" t="inlineStr">
        <is>
          <t>Production Volume</t>
        </is>
      </c>
      <c r="B5" s="28" t="n">
        <v>120000</v>
      </c>
      <c r="C5" s="28" t="n">
        <v>89200</v>
      </c>
      <c r="D5" s="28" t="n">
        <v>30800</v>
      </c>
      <c r="E5" s="28" t="n">
        <v>9</v>
      </c>
      <c r="F5" s="28" t="n">
        <v>3</v>
      </c>
      <c r="G5" s="28" t="n">
        <v>10266.67</v>
      </c>
      <c r="H5" s="28" t="n">
        <v>74.33</v>
      </c>
      <c r="I5" s="30" t="inlineStr">
        <is>
          <t>Monitor</t>
        </is>
      </c>
      <c r="J5" s="31" t="inlineStr">
        <is>
          <t>📈 Improving</t>
        </is>
      </c>
    </row>
    <row r="6">
      <c r="A6" s="28" t="inlineStr">
        <is>
          <t>Sales Revenue</t>
        </is>
      </c>
      <c r="B6" s="28" t="n">
        <v>6000000</v>
      </c>
      <c r="C6" s="28" t="n">
        <v>4645000</v>
      </c>
      <c r="D6" s="28" t="n">
        <v>1355000</v>
      </c>
      <c r="E6" s="28" t="n">
        <v>9</v>
      </c>
      <c r="F6" s="28" t="n">
        <v>3</v>
      </c>
      <c r="G6" s="28" t="n">
        <v>451666.67</v>
      </c>
      <c r="H6" s="28" t="n">
        <v>77.42</v>
      </c>
      <c r="I6" s="31" t="inlineStr">
        <is>
          <t>On Track</t>
        </is>
      </c>
      <c r="J6" s="31" t="inlineStr">
        <is>
          <t>📈 Improving</t>
        </is>
      </c>
    </row>
    <row r="7">
      <c r="A7" s="28" t="inlineStr">
        <is>
          <t>Dealer Addition</t>
        </is>
      </c>
      <c r="B7" s="28" t="n">
        <v>60</v>
      </c>
      <c r="C7" s="28" t="n">
        <v>43</v>
      </c>
      <c r="D7" s="28" t="n">
        <v>17</v>
      </c>
      <c r="E7" s="28" t="n">
        <v>9</v>
      </c>
      <c r="F7" s="28" t="n">
        <v>3</v>
      </c>
      <c r="G7" s="28" t="n">
        <v>5.67</v>
      </c>
      <c r="H7" s="28" t="n">
        <v>71.67</v>
      </c>
      <c r="I7" s="30" t="inlineStr">
        <is>
          <t>Monitor</t>
        </is>
      </c>
      <c r="J7" s="31" t="inlineStr">
        <is>
          <t>📈 Improving</t>
        </is>
      </c>
    </row>
    <row r="8">
      <c r="A8" s="28" t="inlineStr">
        <is>
          <t>Customer Complaints</t>
        </is>
      </c>
      <c r="B8" s="28" t="n">
        <v>100</v>
      </c>
      <c r="C8" s="28" t="n">
        <v>63</v>
      </c>
      <c r="D8" s="28" t="n">
        <v>37</v>
      </c>
      <c r="E8" s="28" t="n">
        <v>9</v>
      </c>
      <c r="F8" s="28" t="n">
        <v>3</v>
      </c>
      <c r="G8" s="28" t="n">
        <v>12.33</v>
      </c>
      <c r="H8" s="28" t="n">
        <v>63</v>
      </c>
      <c r="I8" s="32" t="inlineStr">
        <is>
          <t>Critical</t>
        </is>
      </c>
      <c r="J8" s="33" t="inlineStr">
        <is>
          <t>➖ Stable</t>
        </is>
      </c>
    </row>
    <row r="9">
      <c r="A9" s="28" t="inlineStr">
        <is>
          <t>Safety Observations</t>
        </is>
      </c>
      <c r="B9" s="28" t="n">
        <v>240</v>
      </c>
      <c r="C9" s="28" t="n">
        <v>194</v>
      </c>
      <c r="D9" s="28" t="n">
        <v>46</v>
      </c>
      <c r="E9" s="28" t="n">
        <v>9</v>
      </c>
      <c r="F9" s="28" t="n">
        <v>3</v>
      </c>
      <c r="G9" s="28" t="n">
        <v>15.33</v>
      </c>
      <c r="H9" s="28" t="n">
        <v>80.83</v>
      </c>
      <c r="I9" s="31" t="inlineStr">
        <is>
          <t>On Track</t>
        </is>
      </c>
      <c r="J9" s="31" t="inlineStr">
        <is>
          <t>📈 Improving</t>
        </is>
      </c>
    </row>
    <row r="10">
      <c r="A10" s="28" t="inlineStr">
        <is>
          <t>Energy Consumption</t>
        </is>
      </c>
      <c r="B10" s="28" t="n">
        <v>45000</v>
      </c>
      <c r="C10" s="28" t="n">
        <v>34030</v>
      </c>
      <c r="D10" s="28" t="n">
        <v>10970</v>
      </c>
      <c r="E10" s="28" t="n">
        <v>9</v>
      </c>
      <c r="F10" s="28" t="n">
        <v>3</v>
      </c>
      <c r="G10" s="28" t="n">
        <v>3656.67</v>
      </c>
      <c r="H10" s="28" t="n">
        <v>75.62</v>
      </c>
      <c r="I10" s="31" t="inlineStr">
        <is>
          <t>On Track</t>
        </is>
      </c>
      <c r="J10" s="31" t="inlineStr">
        <is>
          <t>📈 Improving</t>
        </is>
      </c>
    </row>
    <row r="11">
      <c r="A11" s="28" t="inlineStr">
        <is>
          <t>Inventory Turnover</t>
        </is>
      </c>
      <c r="B11" s="28" t="n">
        <v>8</v>
      </c>
      <c r="C11" s="28" t="n">
        <v>6.3</v>
      </c>
      <c r="D11" s="28" t="n">
        <v>1.7</v>
      </c>
      <c r="E11" s="28" t="n">
        <v>9</v>
      </c>
      <c r="F11" s="28" t="n">
        <v>3</v>
      </c>
      <c r="G11" s="28" t="n">
        <v>0.57</v>
      </c>
      <c r="H11" s="28" t="n">
        <v>78.75</v>
      </c>
      <c r="I11" s="31" t="inlineStr">
        <is>
          <t>On Track</t>
        </is>
      </c>
      <c r="J11" s="31" t="inlineStr">
        <is>
          <t>📈 Improving</t>
        </is>
      </c>
    </row>
    <row r="12">
      <c r="A12" s="28" t="inlineStr">
        <is>
          <t>OTIF Delivery (%)</t>
        </is>
      </c>
      <c r="B12" s="28" t="n">
        <v>98</v>
      </c>
      <c r="C12" s="28" t="n">
        <v>72</v>
      </c>
      <c r="D12" s="28" t="n">
        <v>26</v>
      </c>
      <c r="E12" s="28" t="n">
        <v>9</v>
      </c>
      <c r="F12" s="28" t="n">
        <v>3</v>
      </c>
      <c r="G12" s="28" t="n">
        <v>8.67</v>
      </c>
      <c r="H12" s="28" t="n">
        <v>73.47</v>
      </c>
      <c r="I12" s="30" t="inlineStr">
        <is>
          <t>Monitor</t>
        </is>
      </c>
      <c r="J12" s="31" t="inlineStr">
        <is>
          <t>📈 Improving</t>
        </is>
      </c>
    </row>
    <row r="13">
      <c r="A13" s="28" t="inlineStr">
        <is>
          <t>Quality Score (%)</t>
        </is>
      </c>
      <c r="B13" s="28" t="n">
        <v>96</v>
      </c>
      <c r="C13" s="28" t="n">
        <v>72</v>
      </c>
      <c r="D13" s="28" t="n">
        <v>24</v>
      </c>
      <c r="E13" s="28" t="n">
        <v>9</v>
      </c>
      <c r="F13" s="28" t="n">
        <v>3</v>
      </c>
      <c r="G13" s="28" t="n">
        <v>8</v>
      </c>
      <c r="H13" s="28" t="n">
        <v>75</v>
      </c>
      <c r="I13" s="31" t="inlineStr">
        <is>
          <t>On Track</t>
        </is>
      </c>
      <c r="J13" s="31" t="inlineStr">
        <is>
          <t>📈 Improving</t>
        </is>
      </c>
    </row>
    <row r="14">
      <c r="A14" s="28" t="inlineStr">
        <is>
          <t>Cost Reduction ($)</t>
        </is>
      </c>
      <c r="B14" s="28" t="n">
        <v>80000</v>
      </c>
      <c r="C14" s="28" t="n">
        <v>63400</v>
      </c>
      <c r="D14" s="28" t="n">
        <v>16600</v>
      </c>
      <c r="E14" s="28" t="n">
        <v>9</v>
      </c>
      <c r="F14" s="28" t="n">
        <v>3</v>
      </c>
      <c r="G14" s="28" t="n">
        <v>5533.33</v>
      </c>
      <c r="H14" s="28" t="n">
        <v>79.25</v>
      </c>
      <c r="I14" s="31" t="inlineStr">
        <is>
          <t>On Track</t>
        </is>
      </c>
      <c r="J14" s="31" t="inlineStr">
        <is>
          <t>📈 Improving</t>
        </is>
      </c>
    </row>
    <row r="15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</row>
    <row r="16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</row>
    <row r="17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</row>
    <row r="18">
      <c r="A18" s="34" t="inlineStr">
        <is>
          <t>KPI PERFORMANCE SUMMARY</t>
        </is>
      </c>
      <c r="B18" s="28" t="n"/>
      <c r="C18" s="28" t="n"/>
      <c r="D18" s="28" t="n"/>
      <c r="E18" s="28" t="n"/>
      <c r="F18" s="35" t="inlineStr">
        <is>
          <t>AI INSIGHTS</t>
        </is>
      </c>
      <c r="G18" s="28" t="n"/>
      <c r="H18" s="28" t="n"/>
      <c r="I18" s="28" t="n"/>
      <c r="J18" s="35" t="inlineStr">
        <is>
          <t>HISTORICAL COMPARISON</t>
        </is>
      </c>
    </row>
    <row r="19">
      <c r="A19" s="28" t="inlineStr">
        <is>
          <t>Generated: 06 Jun 2026, 12:41 PM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</row>
    <row r="20">
      <c r="A20" s="28" t="n"/>
      <c r="B20" s="28" t="n"/>
      <c r="C20" s="28" t="n"/>
      <c r="D20" s="28" t="n"/>
      <c r="E20" s="28" t="n"/>
      <c r="F20" s="32" t="inlineStr">
        <is>
          <t>Risk KPI: Customer Complaints</t>
        </is>
      </c>
      <c r="G20" s="28" t="n"/>
      <c r="H20" s="28" t="n"/>
      <c r="I20" s="28" t="n"/>
      <c r="J20" s="28" t="inlineStr">
        <is>
          <t>Production Volume: → No Change</t>
        </is>
      </c>
    </row>
    <row r="21">
      <c r="A21" s="28" t="inlineStr">
        <is>
          <t>Total KPIs: 10</t>
        </is>
      </c>
      <c r="B21" s="28" t="n"/>
      <c r="C21" s="28" t="n"/>
      <c r="D21" s="28" t="n"/>
      <c r="E21" s="28" t="n"/>
      <c r="F21" s="31" t="inlineStr">
        <is>
          <t>Top Performer: Safety Observations</t>
        </is>
      </c>
      <c r="G21" s="28" t="n"/>
      <c r="H21" s="28" t="n"/>
      <c r="I21" s="28" t="n"/>
      <c r="J21" s="28" t="inlineStr">
        <is>
          <t>Sales Revenue: → No Change</t>
        </is>
      </c>
    </row>
    <row r="22">
      <c r="A22" s="31" t="inlineStr">
        <is>
          <t>On Track: 6</t>
        </is>
      </c>
      <c r="B22" s="28" t="n"/>
      <c r="C22" s="28" t="n"/>
      <c r="D22" s="28" t="n"/>
      <c r="E22" s="28" t="n"/>
      <c r="F22" s="28" t="inlineStr">
        <is>
          <t>Declining KPIs: 0</t>
        </is>
      </c>
      <c r="G22" s="28" t="n"/>
      <c r="H22" s="28" t="n"/>
      <c r="I22" s="28" t="n"/>
      <c r="J22" s="28" t="inlineStr">
        <is>
          <t>Dealer Addition: → No Change</t>
        </is>
      </c>
    </row>
    <row r="23">
      <c r="A23" s="30" t="inlineStr">
        <is>
          <t>Monitor: 3</t>
        </is>
      </c>
      <c r="B23" s="28" t="n"/>
      <c r="C23" s="28" t="n"/>
      <c r="D23" s="28" t="n"/>
      <c r="E23" s="28" t="n"/>
      <c r="F23" s="30" t="inlineStr">
        <is>
          <t>Highest Effort: Sales Revenue</t>
        </is>
      </c>
      <c r="G23" s="28" t="n"/>
      <c r="H23" s="28" t="n"/>
      <c r="I23" s="28" t="n"/>
      <c r="J23" s="28" t="inlineStr">
        <is>
          <t>Customer Complaints: → No Change</t>
        </is>
      </c>
    </row>
    <row r="24">
      <c r="A24" s="32" t="inlineStr">
        <is>
          <t>Critical: 1</t>
        </is>
      </c>
      <c r="B24" s="28" t="n"/>
      <c r="C24" s="28" t="n"/>
      <c r="D24" s="28" t="n"/>
      <c r="E24" s="28" t="n"/>
      <c r="F24" s="28" t="inlineStr">
        <is>
          <t>Lowest Achievement: Customer Complaints</t>
        </is>
      </c>
      <c r="G24" s="28" t="n"/>
      <c r="H24" s="28" t="n"/>
      <c r="I24" s="28" t="n"/>
      <c r="J24" s="28" t="inlineStr">
        <is>
          <t>Safety Observations: → No Change</t>
        </is>
      </c>
    </row>
    <row r="25">
      <c r="A25" s="28" t="inlineStr">
        <is>
          <t>Declining KPIs: 0</t>
        </is>
      </c>
      <c r="B25" s="28" t="n"/>
      <c r="C25" s="28" t="n"/>
      <c r="D25" s="28" t="n"/>
      <c r="E25" s="28" t="n"/>
      <c r="F25" s="35" t="inlineStr">
        <is>
          <t>Priority Action: Focus on Customer Complaints</t>
        </is>
      </c>
      <c r="G25" s="28" t="n"/>
      <c r="H25" s="28" t="n"/>
      <c r="I25" s="28" t="n"/>
      <c r="J25" s="28" t="inlineStr">
        <is>
          <t>Energy Consumption: → No Change</t>
        </is>
      </c>
    </row>
    <row r="26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inlineStr">
        <is>
          <t>Inventory Turnover: → No Change</t>
        </is>
      </c>
    </row>
    <row r="27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inlineStr">
        <is>
          <t>OTIF Delivery (%): → No Change</t>
        </is>
      </c>
    </row>
    <row r="28">
      <c r="A28" s="35" t="inlineStr">
        <is>
          <t>EXECUTIVE NARRATIVE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inlineStr">
        <is>
          <t>Quality Score (%): → No Change</t>
        </is>
      </c>
    </row>
    <row r="29" ht="120" customHeight="1" s="21">
      <c r="A29" s="36" t="inlineStr">
        <is>
          <t>Overall KPI health is stable.
• 6 of 10 KPIs are on track.
• Highest risk KPI: Customer Complaints.
• Top performer: Safety Observations.
• Declining KPIs: 0.
Recommended Action:
Focus on Customer Complaints immediately.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inlineStr">
        <is>
          <t>Cost Reduction ($): → No Change</t>
        </is>
      </c>
    </row>
    <row r="30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</row>
    <row r="31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</row>
    <row r="32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</row>
  </sheetData>
  <autoFilter ref="A4:J14"/>
  <mergeCells count="3">
    <mergeCell ref="F18:H18"/>
    <mergeCell ref="A29:D3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0" customWidth="1" style="21" min="1" max="1"/>
  </cols>
  <sheetData>
    <row r="1">
      <c r="A1" s="37" t="inlineStr">
        <is>
          <t>AI GENERATED RECOMMENDATIONS</t>
        </is>
      </c>
    </row>
    <row r="3">
      <c r="A3" t="inlineStr">
        <is>
          <t>Generated</t>
        </is>
      </c>
      <c r="B3" t="inlineStr">
        <is>
          <t>06 Jun 2026, 12:41 PM</t>
        </is>
      </c>
    </row>
    <row r="5">
      <c r="A5" s="38" t="inlineStr">
        <is>
          <t>Recommendations</t>
        </is>
      </c>
    </row>
    <row r="7" ht="40" customHeight="1" s="21">
      <c r="A7" s="6" t="inlineStr">
        <is>
          <t>Production Volume: Monitor weekly and implement targeted improvement actions.</t>
        </is>
      </c>
    </row>
    <row r="8" ht="40" customHeight="1" s="21"/>
    <row r="9" ht="40" customHeight="1" s="21">
      <c r="A9" s="6" t="inlineStr">
        <is>
          <t>Dealer Addition: Monitor weekly and implement targeted improvement actions.</t>
        </is>
      </c>
    </row>
    <row r="10" ht="40" customHeight="1" s="21"/>
    <row r="11" ht="40" customHeight="1" s="21">
      <c r="A11" s="6" t="inlineStr">
        <is>
          <t>Customer Complaints: Immediate management review and corrective action required.</t>
        </is>
      </c>
    </row>
    <row r="12" ht="40" customHeight="1" s="21"/>
    <row r="13" ht="40" customHeight="1" s="21">
      <c r="A13" s="6" t="inlineStr">
        <is>
          <t>OTIF Delivery (%): Monitor weekly and implement targeted improvement actions.</t>
        </is>
      </c>
    </row>
    <row r="14" ht="40" customHeight="1" s="21"/>
    <row r="15" ht="40" customHeight="1" s="21"/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2026-06-05T06:49:45Z</dcterms:created>
  <dcterms:modified xmlns:dcterms="http://purl.org/dc/terms/" xmlns:xsi="http://www.w3.org/2001/XMLSchema-instance" xsi:type="dcterms:W3CDTF">2026-06-06T07:11:30Z</dcterms:modified>
  <cp:lastModifiedBy>Aniket Jain</cp:lastModifiedBy>
</cp:coreProperties>
</file>